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2.xml.rels" ContentType="application/vnd.openxmlformats-package.relationships+xml"/>
  <Override PartName="/xl/worksheets/_rels/sheet9.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hecklist" sheetId="2" state="visible" r:id="rId4"/>
    <sheet name="Benchmark" sheetId="3" state="visible" r:id="rId5"/>
    <sheet name="Website Audit" sheetId="4" state="visible" r:id="rId6"/>
    <sheet name="GBP" sheetId="5" state="visible" r:id="rId7"/>
    <sheet name="Services" sheetId="6" state="visible" r:id="rId8"/>
    <sheet name="Content Plan" sheetId="7" state="visible" r:id="rId9"/>
    <sheet name="Interlinking" sheetId="8" state="visible" r:id="rId10"/>
    <sheet name="Citations" sheetId="9" state="visible" r:id="rId11"/>
    <sheet name="Weekly" sheetId="10" state="visible" r:id="rId12"/>
    <sheet name="Emails" sheetId="11" state="visible" r:id="rId13"/>
    <sheet name="Rank Log" sheetId="12" state="visible" r:id="rId14"/>
    <sheet name="Blackhat" sheetId="13" state="visible" r:id="rId15"/>
    <sheet name="Prompts" sheetId="14" state="visible" r:id="rId16"/>
  </sheets>
  <definedNames>
    <definedName function="false" hidden="true" localSheetId="1" name="_xlnm._FilterDatabase" vbProcedure="false">Checklist!$A$4:$L$63</definedName>
    <definedName function="false" hidden="true" localSheetId="8" name="_xlnm._FilterDatabase" vbProcedure="false">Citations!$A$8:$J$73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<sst xmlns="http://schemas.openxmlformats.org/spreadsheetml/2006/main" count="1147" uniqueCount="673">
  <si>
    <t xml:space="preserve">Local SEO Client Tracker</t>
  </si>
  <si>
    <t xml:space="preserve">One copy per client. Work top to bottom: Basic stage first, Advanced only if you can't crack the top 3 after a few weeks.</t>
  </si>
  <si>
    <t xml:space="preserve">How to use this tracker</t>
  </si>
  <si>
    <t xml:space="preserve">Yellow cells</t>
  </si>
  <si>
    <t xml:space="preserve">Fill these in. Everything else is calculated or a label.</t>
  </si>
  <si>
    <t xml:space="preserve">Dropdowns</t>
  </si>
  <si>
    <t xml:space="preserve">Status, Yes/No and Stage cells have dropdown lists.</t>
  </si>
  <si>
    <t xml:space="preserve">Grey italic rows</t>
  </si>
  <si>
    <t xml:space="preserve">Example rows showing the expected format. Overwrite them with real data.</t>
  </si>
  <si>
    <t xml:space="preserve">Checklist tab</t>
  </si>
  <si>
    <t xml:space="preserve">Every task from the workflow. Set Status as you go; progress below updates itself.</t>
  </si>
  <si>
    <t xml:space="preserve">Client details</t>
  </si>
  <si>
    <t xml:space="preserve">Field</t>
  </si>
  <si>
    <t xml:space="preserve">Value</t>
  </si>
  <si>
    <t xml:space="preserve">Format / example</t>
  </si>
  <si>
    <t xml:space="preserve">Client / business name</t>
  </si>
  <si>
    <t xml:space="preserve">e.g. Springfield Plumbing Co (exactly as on the GBP)</t>
  </si>
  <si>
    <t xml:space="preserve">Client contact name</t>
  </si>
  <si>
    <t xml:space="preserve">e.g. Andrew</t>
  </si>
  <si>
    <t xml:space="preserve">Website URL</t>
  </si>
  <si>
    <t xml:space="preserve">e.g. springfieldplumbing.com.au</t>
  </si>
  <si>
    <t xml:space="preserve">Google Business Profile link</t>
  </si>
  <si>
    <t xml:space="preserve">Maps share link</t>
  </si>
  <si>
    <t xml:space="preserve">Main keyword</t>
  </si>
  <si>
    <t xml:space="preserve">e.g. plumber springfield (confirm with the client)</t>
  </si>
  <si>
    <t xml:space="preserve">City / main service area</t>
  </si>
  <si>
    <t xml:space="preserve">e.g. Springfield</t>
  </si>
  <si>
    <t xml:space="preserve">Primary GBP category</t>
  </si>
  <si>
    <t xml:space="preserve">e.g. Plumber</t>
  </si>
  <si>
    <t xml:space="preserve">Start date</t>
  </si>
  <si>
    <t xml:space="preserve">Date of week 1, e.g. 13/10/2026</t>
  </si>
  <si>
    <t xml:space="preserve">Leadsnap heatmap link</t>
  </si>
  <si>
    <t xml:space="preserve">app.leadsnap.com report link</t>
  </si>
  <si>
    <t xml:space="preserve">GMB Everywhere scan link</t>
  </si>
  <si>
    <t xml:space="preserve">Local scan for the main keyword</t>
  </si>
  <si>
    <t xml:space="preserve">Website access working?</t>
  </si>
  <si>
    <t xml:space="preserve">Yes / No (onboarding email asks for this)</t>
  </si>
  <si>
    <t xml:space="preserve">GBP manager access working?</t>
  </si>
  <si>
    <t xml:space="preserve">Yes / No</t>
  </si>
  <si>
    <t xml:space="preserve">Current stage</t>
  </si>
  <si>
    <t xml:space="preserve">Basic</t>
  </si>
  <si>
    <t xml:space="preserve">Basic / Advanced</t>
  </si>
  <si>
    <t xml:space="preserve">Indexed pages target</t>
  </si>
  <si>
    <t xml:space="preserve">Workflow minimum is 30; raise it for tough markets</t>
  </si>
  <si>
    <t xml:space="preserve">Current week of program</t>
  </si>
  <si>
    <t xml:space="preserve">Calculated from the start date</t>
  </si>
  <si>
    <t xml:space="preserve">Progress by milestone (the workflow checklist)</t>
  </si>
  <si>
    <t xml:space="preserve">Milestone</t>
  </si>
  <si>
    <t xml:space="preserve">Tasks</t>
  </si>
  <si>
    <t xml:space="preserve">Done</t>
  </si>
  <si>
    <t xml:space="preserve">N/A</t>
  </si>
  <si>
    <t xml:space="preserve">% complete</t>
  </si>
  <si>
    <t xml:space="preserve">Status</t>
  </si>
  <si>
    <t xml:space="preserve">Benchmark done</t>
  </si>
  <si>
    <t xml:space="preserve">Competitive analysis done</t>
  </si>
  <si>
    <t xml:space="preserve">GBP profile optimised</t>
  </si>
  <si>
    <t xml:space="preserve">On-page SEO basic done</t>
  </si>
  <si>
    <t xml:space="preserve">Citations basic done</t>
  </si>
  <si>
    <t xml:space="preserve">On-page SEO advanced done</t>
  </si>
  <si>
    <t xml:space="preserve">Citations advanced done</t>
  </si>
  <si>
    <t xml:space="preserve">Weekly schedule running</t>
  </si>
  <si>
    <t xml:space="preserve">Basic stage</t>
  </si>
  <si>
    <t xml:space="preserve">Advanced stage</t>
  </si>
  <si>
    <t xml:space="preserve">All tasks</t>
  </si>
  <si>
    <t xml:space="preserve">Quick health check</t>
  </si>
  <si>
    <t xml:space="preserve">Check</t>
  </si>
  <si>
    <t xml:space="preserve">Result</t>
  </si>
  <si>
    <t xml:space="preserve">Where</t>
  </si>
  <si>
    <t xml:space="preserve">Reviews vs top 3</t>
  </si>
  <si>
    <t xml:space="preserve">Benchmark tab</t>
  </si>
  <si>
    <t xml:space="preserve">Photos vs top 3</t>
  </si>
  <si>
    <t xml:space="preserve">Indexed pages</t>
  </si>
  <si>
    <t xml:space="preserve">Website Audit tab</t>
  </si>
  <si>
    <t xml:space="preserve">Services on GBP (target ~30, max 99)</t>
  </si>
  <si>
    <t xml:space="preserve">Services tab</t>
  </si>
  <si>
    <t xml:space="preserve">Profile features (min 3 of 5)</t>
  </si>
  <si>
    <t xml:space="preserve">GBP tab</t>
  </si>
  <si>
    <t xml:space="preserve">Suspected fake listings in top 10</t>
  </si>
  <si>
    <t xml:space="preserve">Benchmark tab, then Blackhat tab</t>
  </si>
  <si>
    <t xml:space="preserve">Checklist</t>
  </si>
  <si>
    <t xml:space="preserve">Every step of the local SEO workflow. Skip ADVANCED tasks on the first run through.</t>
  </si>
  <si>
    <t xml:space="preserve">#</t>
  </si>
  <si>
    <t xml:space="preserve">Week</t>
  </si>
  <si>
    <t xml:space="preserve">Section</t>
  </si>
  <si>
    <t xml:space="preserve">Stage</t>
  </si>
  <si>
    <t xml:space="preserve">Task</t>
  </si>
  <si>
    <t xml:space="preserve">How to / standard</t>
  </si>
  <si>
    <t xml:space="preserve">Tool or link</t>
  </si>
  <si>
    <t xml:space="preserve">Date done</t>
  </si>
  <si>
    <t xml:space="preserve">Owner</t>
  </si>
  <si>
    <t xml:space="preserve">Notes</t>
  </si>
  <si>
    <t xml:space="preserve">Onboarding</t>
  </si>
  <si>
    <t xml:space="preserve">Confirm website access works</t>
  </si>
  <si>
    <t xml:space="preserve">The onboarding email asks for it. Ask for a user/admin login in your own name rather than the client's password, and never store passwords in this sheet. Check you can edit pages, titles and the footer.</t>
  </si>
  <si>
    <t xml:space="preserve">Not started</t>
  </si>
  <si>
    <t xml:space="preserve">Confirm GBP manager access works</t>
  </si>
  <si>
    <t xml:space="preserve">Client adds you as a Manager (they stay Owner). You should be able to open Edit profile.</t>
  </si>
  <si>
    <t xml:space="preserve">business.google.com</t>
  </si>
  <si>
    <t xml:space="preserve">Add client to Leadsnap</t>
  </si>
  <si>
    <t xml:space="preserve">Create the business in Leadsnap so you can run heatmaps.</t>
  </si>
  <si>
    <t xml:space="preserve">https://app.leadsnap.com/</t>
  </si>
  <si>
    <t xml:space="preserve">Benchmarking</t>
  </si>
  <si>
    <t xml:space="preserve">Run heatmap on the main keyword</t>
  </si>
  <si>
    <t xml:space="preserve">Save the report link and a screenshot. This is the starting point you compare against in week 11–12. Log it on the Benchmark tab.</t>
  </si>
  <si>
    <t xml:space="preserve">Record reviews and photos for the top 10</t>
  </si>
  <si>
    <t xml:space="preserve">Leadsnap shows reviews and photos for the top-ranking businesses. If the client is way behind, tell them to get reviews and photos coming.</t>
  </si>
  <si>
    <t xml:space="preserve">Check the top 10 for obvious blackhat / fake listings</t>
  </si>
  <si>
    <t xml:space="preserve">Keyword-stuffed names, all caps, odd addresses (e.g. a tree surgeon in a shopping mall), websites with no address.</t>
  </si>
  <si>
    <t xml:space="preserve">Blackhat tab</t>
  </si>
  <si>
    <t xml:space="preserve">Website easy wins</t>
  </si>
  <si>
    <t xml:space="preserve">NAP visible on the site and matching the GBP</t>
  </si>
  <si>
    <t xml:space="preserve">Business name, address and phone visible on the page and identical to the GBP.</t>
  </si>
  <si>
    <t xml:space="preserve">Title tag contains main keyword + city</t>
  </si>
  <si>
    <t xml:space="preserve">Hover over the browser tab to see the title. Missing keyword or city = easy win.</t>
  </si>
  <si>
    <t xml:space="preserve">Count indexed pages (site: search)</t>
  </si>
  <si>
    <t xml:space="preserve">Google site:theirdomain.com, then Tools to see the result count. At least 30 pages; more in competitive markets.</t>
  </si>
  <si>
    <t xml:space="preserve">google.com</t>
  </si>
  <si>
    <t xml:space="preserve">Check for LocalBusiness schema</t>
  </si>
  <si>
    <t xml:space="preserve">Paste the site into the validator. No local business schema = easy win.</t>
  </si>
  <si>
    <t xml:space="preserve">https://validator.schema.org/</t>
  </si>
  <si>
    <t xml:space="preserve">Check for an embedded Google map</t>
  </si>
  <si>
    <t xml:space="preserve">Is the GBP map embedded on the homepage (or GBP landing page)?</t>
  </si>
  <si>
    <t xml:space="preserve">Weekly</t>
  </si>
  <si>
    <t xml:space="preserve">Weekly GBP update / post</t>
  </si>
  <si>
    <t xml:space="preserve">Generate with AI, lightly edit, post.</t>
  </si>
  <si>
    <t xml:space="preserve">Weekly tab</t>
  </si>
  <si>
    <t xml:space="preserve">Weekly pictures with geodata</t>
  </si>
  <si>
    <t xml:space="preserve">Real or AI-made, screenshot, add geotags with GeoSetter. Ranking on the outskirts? Geotag those areas.</t>
  </si>
  <si>
    <t xml:space="preserve">https://geosetter.de/en/download-en/</t>
  </si>
  <si>
    <t xml:space="preserve">Client management</t>
  </si>
  <si>
    <t xml:space="preserve">Client asks every customer for a review</t>
  </si>
  <si>
    <t xml:space="preserve">Steady stream, not bursts.</t>
  </si>
  <si>
    <t xml:space="preserve">Client sends new pictures every week</t>
  </si>
  <si>
    <t xml:space="preserve">Or posts them on IG / FB and we grab them.</t>
  </si>
  <si>
    <t xml:space="preserve">Send the weekly email update</t>
  </si>
  <si>
    <t xml:space="preserve">Use the template for the current week.</t>
  </si>
  <si>
    <t xml:space="preserve">Emails tab</t>
  </si>
  <si>
    <t xml:space="preserve">Blackhat</t>
  </si>
  <si>
    <t xml:space="preserve">Report fake listings (only when 100% sure)</t>
  </si>
  <si>
    <t xml:space="preserve">Suggest an edit → 'Place is closed or not here', add a photo and short explanation. Never report real businesses, and keep reports factual.</t>
  </si>
  <si>
    <t xml:space="preserve">Competitive analysis</t>
  </si>
  <si>
    <t xml:space="preserve">Choose the MAIN keyword</t>
  </si>
  <si>
    <t xml:space="preserve">Usually obvious (plumber + city). If not, ask AI, then confirm with the client. Leadsnap shows search volume and competitiveness.</t>
  </si>
  <si>
    <t xml:space="preserve">Leadsnap</t>
  </si>
  <si>
    <t xml:space="preserve">Run a GMB Everywhere local scan</t>
  </si>
  <si>
    <t xml:space="preserve">Note the top 20's categories, number of services, profile features and attributes. Log the averages on the GBP tab.</t>
  </si>
  <si>
    <t xml:space="preserve">GMB Everywhere</t>
  </si>
  <si>
    <t xml:space="preserve">Google Business Profile</t>
  </si>
  <si>
    <t xml:space="preserve">Business name matches the real-life business name</t>
  </si>
  <si>
    <t xml:space="preserve">Leave it alone. Only touch this once every other option is exhausted.</t>
  </si>
  <si>
    <t xml:space="preserve">GBP → Edit profile</t>
  </si>
  <si>
    <t xml:space="preserve">Trim categories to 1 primary + 0–3 secondary</t>
  </si>
  <si>
    <t xml:space="preserve">Check the top 20's average in GMB Everywhere (usually about 2). Remove overlapping categories and ones that drift from what you want to rank for.</t>
  </si>
  <si>
    <t xml:space="preserve">Hit at least 3 of 5 profile features</t>
  </si>
  <si>
    <t xml:space="preserve">Full address, website, phone number. Easy 4th: online appointments linked to the Contact page.</t>
  </si>
  <si>
    <t xml:space="preserve">Compile the full services list</t>
  </si>
  <si>
    <t xml:space="preserve">GMB Everywhere category finder → related services, or copy services from the top 10 into one document.</t>
  </si>
  <si>
    <t xml:space="preserve">https://app.gmbeverywhere.com/release7/category-tool/category-finder.html</t>
  </si>
  <si>
    <t xml:space="preserve">De-duplicate the list with AI</t>
  </si>
  <si>
    <t xml:space="preserve">Use the 'Remove duplicate services' prompt, then prune by hand. Prioritise by search traffic if you can.</t>
  </si>
  <si>
    <t xml:space="preserve">Prompts tab</t>
  </si>
  <si>
    <t xml:space="preserve">Send client the 'which services DON'T you do' email</t>
  </si>
  <si>
    <t xml:space="preserve">Only list services the client actually provides.</t>
  </si>
  <si>
    <t xml:space="preserve">Add all services to the GBP (max 99)</t>
  </si>
  <si>
    <t xml:space="preserve">One category: all under it. Several: ask AI to sort them under the right categories.</t>
  </si>
  <si>
    <t xml:space="preserve">Add descriptions to the top 20 services</t>
  </si>
  <si>
    <t xml:space="preserve">Max 300 characters each. Use the descriptions prompt, then copy-paste.</t>
  </si>
  <si>
    <t xml:space="preserve">Bookings: link the Contact page</t>
  </si>
  <si>
    <t xml:space="preserve">Gives the business another profile feature.</t>
  </si>
  <si>
    <t xml:space="preserve">GBP → Bookings</t>
  </si>
  <si>
    <t xml:space="preserve">Add FAQs to the profile</t>
  </si>
  <si>
    <t xml:space="preserve">Ask AI for FAQs for this company, niche and location. Add them to the GBP.</t>
  </si>
  <si>
    <t xml:space="preserve">Complete the profile until the circle is fully green</t>
  </si>
  <si>
    <t xml:space="preserve">Fill in every remaining option.</t>
  </si>
  <si>
    <t xml:space="preserve">On-page SEO</t>
  </si>
  <si>
    <t xml:space="preserve">Rewrite the title tag</t>
  </si>
  <si>
    <t xml:space="preserve">BEST + primary category + city + business name + primary services + near me. Aim for ~200 characters max.</t>
  </si>
  <si>
    <t xml:space="preserve">Set the H1 = primary category + city</t>
  </si>
  <si>
    <t xml:space="preserve">One H1 per page.</t>
  </si>
  <si>
    <t xml:space="preserve">Set H2s to secondary categories + main services</t>
  </si>
  <si>
    <t xml:space="preserve">Use the services found with GMB Everywhere.</t>
  </si>
  <si>
    <t xml:space="preserve">Add NAP to the footer on every page</t>
  </si>
  <si>
    <t xml:space="preserve">Identical to the GBP. Also on the homepage / GBP landing page.</t>
  </si>
  <si>
    <t xml:space="preserve">Embed the GBP map on the homepage</t>
  </si>
  <si>
    <t xml:space="preserve">GBP / Maps → Share → Embed a map.</t>
  </si>
  <si>
    <t xml:space="preserve">Advanced</t>
  </si>
  <si>
    <t xml:space="preserve">Add LocalBusiness schema</t>
  </si>
  <si>
    <t xml:space="preserve">Generate it, add it to the site, then re-test in the validator.</t>
  </si>
  <si>
    <t xml:space="preserve">https://technicalseo.com/tools/schema-markup-generator/</t>
  </si>
  <si>
    <t xml:space="preserve">Content</t>
  </si>
  <si>
    <t xml:space="preserve">Inventory what Google has indexed</t>
  </si>
  <si>
    <t xml:space="preserve">List current pages on the Content Plan tab.</t>
  </si>
  <si>
    <t xml:space="preserve">Content Plan tab</t>
  </si>
  <si>
    <t xml:space="preserve">Plan the page hierarchy</t>
  </si>
  <si>
    <t xml:space="preserve">Rank 1 landing page → Rank 2 category + core services → Rank 3 remaining services, interlinked.</t>
  </si>
  <si>
    <t xml:space="preserve">Write service pages (1,000–2,000 words each)</t>
  </si>
  <si>
    <t xml:space="preserve">Unique copy per service. Use the service page prompt. Add pictures.</t>
  </si>
  <si>
    <t xml:space="preserve">Add 'Areas we serve' to the navigation</t>
  </si>
  <si>
    <t xml:space="preserve">Plus an Areas we serve page. Get client input on the areas (start with ~5).</t>
  </si>
  <si>
    <t xml:space="preserve">Write area pages (1,200–2,200 words each)</t>
  </si>
  <si>
    <t xml:space="preserve">Use the hyperlocal area page prompt. Real local detail, never a fake address.</t>
  </si>
  <si>
    <t xml:space="preserve">Interlinking</t>
  </si>
  <si>
    <t xml:space="preserve">Map services to areas</t>
  </si>
  <si>
    <t xml:space="preserve">Decide which services make sense for which areas.</t>
  </si>
  <si>
    <t xml:space="preserve">Interlinking tab</t>
  </si>
  <si>
    <t xml:space="preserve">Service pages: 2–4 area links + 'We serve these areas' list</t>
  </si>
  <si>
    <t xml:space="preserve">1–3 short sentences mentioning an area, linked. List of 3–5 areas at the bottom.</t>
  </si>
  <si>
    <t xml:space="preserve">Area pages: 3–6 service links + 'Services we offer here'</t>
  </si>
  <si>
    <t xml:space="preserve">2–4 sentences mentioning a service, linked. Section with 3–5 service links.</t>
  </si>
  <si>
    <t xml:space="preserve">Homepage + contact page: areas and main services sections</t>
  </si>
  <si>
    <t xml:space="preserve">Link to all (or most) area pages and the most important service pages.</t>
  </si>
  <si>
    <t xml:space="preserve">Final link checks</t>
  </si>
  <si>
    <t xml:space="preserve">Max 8–10 links per page, varied anchor text, no footer-only links, every page has incoming links, click-test them all.</t>
  </si>
  <si>
    <t xml:space="preserve">Citations</t>
  </si>
  <si>
    <t xml:space="preserve">Bing Places</t>
  </si>
  <si>
    <t xml:space="preserve">Profile with NAP identical to website and GBP. May need the client to verify by email.</t>
  </si>
  <si>
    <t xml:space="preserve">https://www.bing.com/forbusiness/</t>
  </si>
  <si>
    <t xml:space="preserve">Apple Business Connect</t>
  </si>
  <si>
    <t xml:space="preserve">Same NAP. May need client verification.</t>
  </si>
  <si>
    <t xml:space="preserve">https://businessconnect.apple.com</t>
  </si>
  <si>
    <t xml:space="preserve">Foursquare</t>
  </si>
  <si>
    <t xml:space="preserve">Costs about $20.</t>
  </si>
  <si>
    <t xml:space="preserve">https://foursquare.com/products/business-listings/</t>
  </si>
  <si>
    <t xml:space="preserve">Yelp</t>
  </si>
  <si>
    <t xml:space="preserve">Claim or add the business.</t>
  </si>
  <si>
    <t xml:space="preserve">https://biz.yelp.com/</t>
  </si>
  <si>
    <t xml:space="preserve">Data Axle (US clients only)</t>
  </si>
  <si>
    <t xml:space="preserve">Skip for Europe, Australia and New Zealand.</t>
  </si>
  <si>
    <t xml:space="preserve">https://local-listings.data-axle.com/</t>
  </si>
  <si>
    <t xml:space="preserve">Directories in the top 20 organic results for the keyword</t>
  </si>
  <si>
    <t xml:space="preserve">Repeat for a few keyword variations. Sign up on the directories and lists Google ranks.</t>
  </si>
  <si>
    <t xml:space="preserve">Citations tab</t>
  </si>
  <si>
    <t xml:space="preserve">Competitor backlinks via the GBP 'More about' panel</t>
  </si>
  <si>
    <t xml:space="preserve">Top 3–10 competitors: list the sites pointing to them and fill the gaps.</t>
  </si>
  <si>
    <t xml:space="preserve">Ask AI for niche + location backlink ideas</t>
  </si>
  <si>
    <t xml:space="preserve">'Can you suggest some backlinks I could get for a &lt;niche&gt; in &lt;location&gt;?'</t>
  </si>
  <si>
    <t xml:space="preserve">Work through the additional sources list</t>
  </si>
  <si>
    <t xml:space="preserve">Apple, Bing, Yelp, Yell, Nextdoor, Waze, TomTom, HERE, HotFrog, Manta and the rest.</t>
  </si>
  <si>
    <t xml:space="preserve">Optional: buy citations</t>
  </si>
  <si>
    <t xml:space="preserve">Leadsnap (about $20/month per client), Leadforge, FatJoe. Only after the 80/20 and keyword citations.</t>
  </si>
  <si>
    <t xml:space="preserve">Review</t>
  </si>
  <si>
    <t xml:space="preserve">Re-run the heatmap and compare with week 1</t>
  </si>
  <si>
    <t xml:space="preserve">Log it on the Benchmark and Rank Log tabs.</t>
  </si>
  <si>
    <t xml:space="preserve">Grand overview and prep for the sales call</t>
  </si>
  <si>
    <t xml:space="preserve">Week 12 email + walkthrough.</t>
  </si>
  <si>
    <t xml:space="preserve">Privacy</t>
  </si>
  <si>
    <t xml:space="preserve">Offboarding: remove our access if the engagement ends</t>
  </si>
  <si>
    <t xml:space="preserve">Remove yourself from the website, GBP, ads and analytics accounts, and delete any client customer data you exported.</t>
  </si>
  <si>
    <t xml:space="preserve">Benchmark</t>
  </si>
  <si>
    <t xml:space="preserve">Where the client stands today. Re-run at week 11–12 and compare.</t>
  </si>
  <si>
    <t xml:space="preserve">Heatmap runs (Leadsnap)</t>
  </si>
  <si>
    <t xml:space="preserve">Run</t>
  </si>
  <si>
    <t xml:space="preserve">Keyword</t>
  </si>
  <si>
    <t xml:space="preserve">Date</t>
  </si>
  <si>
    <t xml:space="preserve">Grid</t>
  </si>
  <si>
    <t xml:space="preserve">Avg rank</t>
  </si>
  <si>
    <t xml:space="preserve">Top-3 coverage</t>
  </si>
  <si>
    <t xml:space="preserve">Report link / screenshot</t>
  </si>
  <si>
    <t xml:space="preserve">Baseline (week 1)</t>
  </si>
  <si>
    <t xml:space="preserve">Re-run (week 11–12)</t>
  </si>
  <si>
    <t xml:space="preserve">Extra run</t>
  </si>
  <si>
    <t xml:space="preserve">Change in avg rank</t>
  </si>
  <si>
    <t xml:space="preserve">Positive = moved up</t>
  </si>
  <si>
    <t xml:space="preserve">Change in top-3 coverage</t>
  </si>
  <si>
    <t xml:space="preserve">Top 10 for the main keyword (from Leadsnap + GMB Everywhere)</t>
  </si>
  <si>
    <t xml:space="preserve">Rank</t>
  </si>
  <si>
    <t xml:space="preserve">Business name</t>
  </si>
  <si>
    <t xml:space="preserve">Reviews</t>
  </si>
  <si>
    <t xml:space="preserve">Rating</t>
  </si>
  <si>
    <t xml:space="preserve">Photos</t>
  </si>
  <si>
    <t xml:space="preserve"># Categories</t>
  </si>
  <si>
    <t xml:space="preserve">Primary category</t>
  </si>
  <si>
    <t xml:space="preserve"># Services</t>
  </si>
  <si>
    <t xml:space="preserve">Profile features /5</t>
  </si>
  <si>
    <t xml:space="preserve">Looks fake?</t>
  </si>
  <si>
    <t xml:space="preserve">Red flags / notes</t>
  </si>
  <si>
    <t xml:space="preserve">Smith &amp; Sons Plumbing</t>
  </si>
  <si>
    <t xml:space="preserve">Plumber</t>
  </si>
  <si>
    <t xml:space="preserve">No</t>
  </si>
  <si>
    <t xml:space="preserve">e.g. strong profile, posts weekly</t>
  </si>
  <si>
    <t xml:space="preserve">Our client</t>
  </si>
  <si>
    <t xml:space="preserve">Gap analysis</t>
  </si>
  <si>
    <t xml:space="preserve">Metric</t>
  </si>
  <si>
    <t xml:space="preserve">Top-10 average</t>
  </si>
  <si>
    <t xml:space="preserve">Top-3 average</t>
  </si>
  <si>
    <t xml:space="preserve">Gap vs top 3</t>
  </si>
  <si>
    <t xml:space="preserve">Verdict</t>
  </si>
  <si>
    <t xml:space="preserve">Blackhat check</t>
  </si>
  <si>
    <t xml:space="preserve">Suspected fake listings</t>
  </si>
  <si>
    <t xml:space="preserve">Log each one on the Blackhat tab before reporting.</t>
  </si>
  <si>
    <t xml:space="preserve">Website Audit</t>
  </si>
  <si>
    <t xml:space="preserve">Easy wins on the client's website. Paste what you find; the Result column checks it.</t>
  </si>
  <si>
    <t xml:space="preserve">What good looks like</t>
  </si>
  <si>
    <t xml:space="preserve">What you found</t>
  </si>
  <si>
    <t xml:space="preserve">Fix / notes</t>
  </si>
  <si>
    <t xml:space="preserve">NAP visible and matching GBP</t>
  </si>
  <si>
    <t xml:space="preserve">Name, address and phone on the page, identical to the GBP</t>
  </si>
  <si>
    <t xml:space="preserve">Title tag (paste it)</t>
  </si>
  <si>
    <t xml:space="preserve">Contains primary category + city</t>
  </si>
  <si>
    <t xml:space="preserve">Title tag length (characters)</t>
  </si>
  <si>
    <t xml:space="preserve">~200 max with the workflow format</t>
  </si>
  <si>
    <t xml:space="preserve">H1 (paste it)</t>
  </si>
  <si>
    <t xml:space="preserve">Primary category + city</t>
  </si>
  <si>
    <t xml:space="preserve">H2s cover secondary categories + main services</t>
  </si>
  <si>
    <t xml:space="preserve">NAP in footer on every page</t>
  </si>
  <si>
    <t xml:space="preserve">Indexed pages (site: search count)</t>
  </si>
  <si>
    <t xml:space="preserve">At least the target on Start Here (30)</t>
  </si>
  <si>
    <t xml:space="preserve">LocalBusiness schema (validator.schema.org)</t>
  </si>
  <si>
    <t xml:space="preserve">Google map embedded on homepage</t>
  </si>
  <si>
    <t xml:space="preserve">Tip: hover over the browser tab to read the title. For the indexed count, Google site:domain.com and open Tools.</t>
  </si>
  <si>
    <t xml:space="preserve">Categories, profile features and completeness. Compare with the top 20 from GMB Everywhere.</t>
  </si>
  <si>
    <t xml:space="preserve">Top-20 benchmark (GMB Everywhere)</t>
  </si>
  <si>
    <t xml:space="preserve">Note</t>
  </si>
  <si>
    <t xml:space="preserve">Average # categories (top 20)</t>
  </si>
  <si>
    <t xml:space="preserve">Usually around 2</t>
  </si>
  <si>
    <t xml:space="preserve">Average # services (top 20)</t>
  </si>
  <si>
    <t xml:space="preserve">Aim for at least this, ideally ~30+</t>
  </si>
  <si>
    <t xml:space="preserve">Top 20 with at least 3/5 profile features</t>
  </si>
  <si>
    <t xml:space="preserve">e.g. 19 of 20</t>
  </si>
  <si>
    <t xml:space="preserve">Most common primary category</t>
  </si>
  <si>
    <t xml:space="preserve">Attributes matter? (most top 10 have none = no)</t>
  </si>
  <si>
    <t xml:space="preserve">Categories</t>
  </si>
  <si>
    <t xml:space="preserve">Current categories</t>
  </si>
  <si>
    <t xml:space="preserve">Keep?</t>
  </si>
  <si>
    <t xml:space="preserve">New setup (1 primary + 0–3 secondary)</t>
  </si>
  <si>
    <t xml:space="preserve">Primary:</t>
  </si>
  <si>
    <t xml:space="preserve">Secondary 1:</t>
  </si>
  <si>
    <t xml:space="preserve">Secondary 2:</t>
  </si>
  <si>
    <t xml:space="preserve">Secondary 3:</t>
  </si>
  <si>
    <t xml:space="preserve">Current count</t>
  </si>
  <si>
    <t xml:space="preserve">New count</t>
  </si>
  <si>
    <t xml:space="preserve">Profile features (minimum 3 of 5)</t>
  </si>
  <si>
    <t xml:space="preserve">Feature (match GMB Everywhere's five)</t>
  </si>
  <si>
    <t xml:space="preserve">Done?</t>
  </si>
  <si>
    <t xml:space="preserve">Features done</t>
  </si>
  <si>
    <t xml:space="preserve">Full address (or service area)</t>
  </si>
  <si>
    <t xml:space="preserve">Website</t>
  </si>
  <si>
    <t xml:space="preserve">Phone number</t>
  </si>
  <si>
    <t xml:space="preserve">Online appointments → Contact page</t>
  </si>
  <si>
    <t xml:space="preserve">Business hours</t>
  </si>
  <si>
    <t xml:space="preserve">Profile completeness</t>
  </si>
  <si>
    <t xml:space="preserve">Item</t>
  </si>
  <si>
    <t xml:space="preserve">Business name = real-life name (don't change)</t>
  </si>
  <si>
    <t xml:space="preserve">Completeness circle fully green</t>
  </si>
  <si>
    <t xml:space="preserve">Services added</t>
  </si>
  <si>
    <t xml:space="preserve">Top-20 services with descriptions</t>
  </si>
  <si>
    <t xml:space="preserve">Bookings link → Contact page</t>
  </si>
  <si>
    <t xml:space="preserve">FAQs added (how many)</t>
  </si>
  <si>
    <t xml:space="preserve">number</t>
  </si>
  <si>
    <t xml:space="preserve">Photos added this month</t>
  </si>
  <si>
    <t xml:space="preserve">Business description written</t>
  </si>
  <si>
    <t xml:space="preserve">Services</t>
  </si>
  <si>
    <t xml:space="preserve">Master list for the GBP (max 99). Confirm with the client, add to the profile, write descriptions for the top 20.</t>
  </si>
  <si>
    <t xml:space="preserve">Services listed</t>
  </si>
  <si>
    <t xml:space="preserve">vs top-20 average:</t>
  </si>
  <si>
    <t xml:space="preserve">Over the 99 limit?</t>
  </si>
  <si>
    <t xml:space="preserve">Added to GBP</t>
  </si>
  <si>
    <t xml:space="preserve">Client confirmed</t>
  </si>
  <si>
    <t xml:space="preserve">Top 20 with description</t>
  </si>
  <si>
    <t xml:space="preserve">Descriptions over 300 chars</t>
  </si>
  <si>
    <t xml:space="preserve">Service</t>
  </si>
  <si>
    <t xml:space="preserve">GBP category</t>
  </si>
  <si>
    <t xml:space="preserve">Source</t>
  </si>
  <si>
    <t xml:space="preserve">Client offers it?</t>
  </si>
  <si>
    <t xml:space="preserve">Added to GBP?</t>
  </si>
  <si>
    <t xml:space="preserve">Top 20?</t>
  </si>
  <si>
    <t xml:space="preserve">Description (300 characters max)</t>
  </si>
  <si>
    <t xml:space="preserve">Chars</t>
  </si>
  <si>
    <t xml:space="preserve">Length</t>
  </si>
  <si>
    <t xml:space="preserve">Emergency plumbing</t>
  </si>
  <si>
    <t xml:space="preserve">Competitors</t>
  </si>
  <si>
    <t xml:space="preserve">Yes</t>
  </si>
  <si>
    <t xml:space="preserve">24/7 emergency plumbing across Springfield for burst pipes, leaks, blocked drains and hot water failures. Licensed plumbers, upfront pricing and fast arrival times. Call any time, day or night.</t>
  </si>
  <si>
    <t xml:space="preserve">Content Plan (ADVANCED)</t>
  </si>
  <si>
    <t xml:space="preserve">Only if you can't crack the top 3 in a few weeks. Rank 1 landing page → Rank 2 category/core services → Rank 3 remaining services and areas.</t>
  </si>
  <si>
    <t xml:space="preserve">Page type</t>
  </si>
  <si>
    <t xml:space="preserve">Page / topic</t>
  </si>
  <si>
    <t xml:space="preserve">URL</t>
  </si>
  <si>
    <t xml:space="preserve">Primary keyword</t>
  </si>
  <si>
    <t xml:space="preserve">Min words</t>
  </si>
  <si>
    <t xml:space="preserve">Words</t>
  </si>
  <si>
    <t xml:space="preserve">Links to areas</t>
  </si>
  <si>
    <t xml:space="preserve">Links to services</t>
  </si>
  <si>
    <t xml:space="preserve">Total links</t>
  </si>
  <si>
    <t xml:space="preserve">Link rules</t>
  </si>
  <si>
    <t xml:space="preserve">Indexed?</t>
  </si>
  <si>
    <t xml:space="preserve">Landing page</t>
  </si>
  <si>
    <t xml:space="preserve">Homepage</t>
  </si>
  <si>
    <t xml:space="preserve">Category page</t>
  </si>
  <si>
    <t xml:space="preserve">Services overview</t>
  </si>
  <si>
    <t xml:space="preserve">Core service</t>
  </si>
  <si>
    <t xml:space="preserve">Core service 1</t>
  </si>
  <si>
    <t xml:space="preserve">Core service 2</t>
  </si>
  <si>
    <t xml:space="preserve">Core service 3</t>
  </si>
  <si>
    <t xml:space="preserve">Service page</t>
  </si>
  <si>
    <t xml:space="preserve">Service page 1</t>
  </si>
  <si>
    <t xml:space="preserve">Service page 2</t>
  </si>
  <si>
    <t xml:space="preserve">Service page 3</t>
  </si>
  <si>
    <t xml:space="preserve">Service page 4</t>
  </si>
  <si>
    <t xml:space="preserve">Service page 5</t>
  </si>
  <si>
    <t xml:space="preserve">Service page 6</t>
  </si>
  <si>
    <t xml:space="preserve">Areas we serve</t>
  </si>
  <si>
    <t xml:space="preserve">Area page</t>
  </si>
  <si>
    <t xml:space="preserve">Area page 1</t>
  </si>
  <si>
    <t xml:space="preserve">Area page 2</t>
  </si>
  <si>
    <t xml:space="preserve">Area page 3</t>
  </si>
  <si>
    <t xml:space="preserve">Area page 4</t>
  </si>
  <si>
    <t xml:space="preserve">Area page 5</t>
  </si>
  <si>
    <t xml:space="preserve">Pages planned</t>
  </si>
  <si>
    <t xml:space="preserve">Published</t>
  </si>
  <si>
    <t xml:space="preserve">Indexed</t>
  </si>
  <si>
    <t xml:space="preserve">Interlinking map (ADVANCED)</t>
  </si>
  <si>
    <t xml:space="preserve">Put an x where a service makes sense for an area. Service pages link to their areas (2–4); area pages link to their services (3–6).</t>
  </si>
  <si>
    <t xml:space="preserve">Service pages ↓  /  Area pages →</t>
  </si>
  <si>
    <t xml:space="preserve">Area 1</t>
  </si>
  <si>
    <t xml:space="preserve">Area 2</t>
  </si>
  <si>
    <t xml:space="preserve">Area 3</t>
  </si>
  <si>
    <t xml:space="preserve">Area 4</t>
  </si>
  <si>
    <t xml:space="preserve">Area 5</t>
  </si>
  <si>
    <t xml:space="preserve">Area 6</t>
  </si>
  <si>
    <t xml:space="preserve">Area 7</t>
  </si>
  <si>
    <t xml:space="preserve">Area 8</t>
  </si>
  <si>
    <t xml:space="preserve">Area links</t>
  </si>
  <si>
    <t xml:space="preserve">Rule (2–4)</t>
  </si>
  <si>
    <t xml:space="preserve">Service 1</t>
  </si>
  <si>
    <t xml:space="preserve">Service 2</t>
  </si>
  <si>
    <t xml:space="preserve">Service 3</t>
  </si>
  <si>
    <t xml:space="preserve">Service 4</t>
  </si>
  <si>
    <t xml:space="preserve">Service 5</t>
  </si>
  <si>
    <t xml:space="preserve">Service 6</t>
  </si>
  <si>
    <t xml:space="preserve">Service 7</t>
  </si>
  <si>
    <t xml:space="preserve">Service 8</t>
  </si>
  <si>
    <t xml:space="preserve">Service 9</t>
  </si>
  <si>
    <t xml:space="preserve">Service 10</t>
  </si>
  <si>
    <t xml:space="preserve">Service links</t>
  </si>
  <si>
    <t xml:space="preserve">Rule (3–6)</t>
  </si>
  <si>
    <t xml:space="preserve">Rules</t>
  </si>
  <si>
    <t xml:space="preserve">• Only add links that help the reader.</t>
  </si>
  <si>
    <t xml:space="preserve">• Max 8–10 links on one page.</t>
  </si>
  <si>
    <t xml:space="preserve">• Vary the anchor text: 'our plumbing repair service', 'services in Downtown', 'see bathroom remodel options'.</t>
  </si>
  <si>
    <t xml:space="preserve">• Don't put links only in the footer.</t>
  </si>
  <si>
    <t xml:space="preserve">• Homepage + contact page: 'Areas we serve' (all areas) and 'Our main services'.</t>
  </si>
  <si>
    <t xml:space="preserve">• Every important page needs a few incoming links. Click-test every link.</t>
  </si>
  <si>
    <t xml:space="preserve">80/20 first, then keyword directories, competitor links and the additional sources. NAP must match the website and GBP exactly.</t>
  </si>
  <si>
    <t xml:space="preserve">Live</t>
  </si>
  <si>
    <t xml:space="preserve">80/20 live (of 4–5)</t>
  </si>
  <si>
    <t xml:space="preserve">To do</t>
  </si>
  <si>
    <t xml:space="preserve">Waiting on verification</t>
  </si>
  <si>
    <t xml:space="preserve">Platform</t>
  </si>
  <si>
    <t xml:space="preserve">Type</t>
  </si>
  <si>
    <t xml:space="preserve">Region</t>
  </si>
  <si>
    <t xml:space="preserve">Cost</t>
  </si>
  <si>
    <t xml:space="preserve">NAP matches?</t>
  </si>
  <si>
    <t xml:space="preserve">Client verifies?</t>
  </si>
  <si>
    <t xml:space="preserve">Date live</t>
  </si>
  <si>
    <t xml:space="preserve">Notes (never store passwords here)</t>
  </si>
  <si>
    <t xml:space="preserve">Bing Places for Business</t>
  </si>
  <si>
    <t xml:space="preserve">80/20</t>
  </si>
  <si>
    <t xml:space="preserve">All</t>
  </si>
  <si>
    <t xml:space="preserve">$20</t>
  </si>
  <si>
    <t xml:space="preserve">Data Axle</t>
  </si>
  <si>
    <t xml:space="preserve">US</t>
  </si>
  <si>
    <t xml:space="preserve">Directory ranking for keyword #1</t>
  </si>
  <si>
    <t xml:space="preserve">Keyword directory</t>
  </si>
  <si>
    <t xml:space="preserve">Directory ranking for keyword #2</t>
  </si>
  <si>
    <t xml:space="preserve">Competitor link gap #1</t>
  </si>
  <si>
    <t xml:space="preserve">Competitor link</t>
  </si>
  <si>
    <t xml:space="preserve">Yellow Pages Australia</t>
  </si>
  <si>
    <t xml:space="preserve">https://www.yellowpages.com.au/</t>
  </si>
  <si>
    <t xml:space="preserve">Directory</t>
  </si>
  <si>
    <t xml:space="preserve">AU</t>
  </si>
  <si>
    <t xml:space="preserve">TrueLocal</t>
  </si>
  <si>
    <t xml:space="preserve">https://www.truelocal.com.au/</t>
  </si>
  <si>
    <t xml:space="preserve">Hotfrog</t>
  </si>
  <si>
    <t xml:space="preserve">https://www.hotfrog.com.au/</t>
  </si>
  <si>
    <t xml:space="preserve">hipages (trades)</t>
  </si>
  <si>
    <t xml:space="preserve">https://hipages.com.au/</t>
  </si>
  <si>
    <t xml:space="preserve">Oneflare</t>
  </si>
  <si>
    <t xml:space="preserve">https://www.oneflare.com.au/</t>
  </si>
  <si>
    <t xml:space="preserve">Yellow NZ</t>
  </si>
  <si>
    <t xml:space="preserve">https://yellow.co.nz/</t>
  </si>
  <si>
    <t xml:space="preserve">NZ</t>
  </si>
  <si>
    <t xml:space="preserve">Finda</t>
  </si>
  <si>
    <t xml:space="preserve">https://www.finda.co.nz/</t>
  </si>
  <si>
    <t xml:space="preserve">NoCowboys (trades)</t>
  </si>
  <si>
    <t xml:space="preserve">https://www.nocowboys.co.nz/</t>
  </si>
  <si>
    <t xml:space="preserve">Builderscrack (trades)</t>
  </si>
  <si>
    <t xml:space="preserve">https://builderscrack.co.nz/</t>
  </si>
  <si>
    <t xml:space="preserve">Cortana</t>
  </si>
  <si>
    <t xml:space="preserve">Additional source</t>
  </si>
  <si>
    <t xml:space="preserve">Alexa</t>
  </si>
  <si>
    <t xml:space="preserve">Siri</t>
  </si>
  <si>
    <t xml:space="preserve">Instagram</t>
  </si>
  <si>
    <t xml:space="preserve">YouTube</t>
  </si>
  <si>
    <t xml:space="preserve">Twitter / X</t>
  </si>
  <si>
    <t xml:space="preserve">LinkedIn</t>
  </si>
  <si>
    <t xml:space="preserve">Facebook</t>
  </si>
  <si>
    <t xml:space="preserve">Pinterest</t>
  </si>
  <si>
    <t xml:space="preserve">Yell</t>
  </si>
  <si>
    <t xml:space="preserve">Nextdoor</t>
  </si>
  <si>
    <t xml:space="preserve">Waze</t>
  </si>
  <si>
    <t xml:space="preserve">HERE (Nokia)</t>
  </si>
  <si>
    <t xml:space="preserve">TomTom</t>
  </si>
  <si>
    <t xml:space="preserve">NavMii</t>
  </si>
  <si>
    <t xml:space="preserve">Huawei</t>
  </si>
  <si>
    <t xml:space="preserve">MapQuest</t>
  </si>
  <si>
    <t xml:space="preserve">Central Index</t>
  </si>
  <si>
    <t xml:space="preserve">Infobel</t>
  </si>
  <si>
    <t xml:space="preserve">Touch Local</t>
  </si>
  <si>
    <t xml:space="preserve">Acompio</t>
  </si>
  <si>
    <t xml:space="preserve">Audi</t>
  </si>
  <si>
    <t xml:space="preserve">BMW</t>
  </si>
  <si>
    <t xml:space="preserve">Citipages</t>
  </si>
  <si>
    <t xml:space="preserve">Cylex</t>
  </si>
  <si>
    <t xml:space="preserve">Uber</t>
  </si>
  <si>
    <t xml:space="preserve">Fiat</t>
  </si>
  <si>
    <t xml:space="preserve">Ford</t>
  </si>
  <si>
    <t xml:space="preserve">GM</t>
  </si>
  <si>
    <t xml:space="preserve">Mercedes</t>
  </si>
  <si>
    <t xml:space="preserve">Toyota</t>
  </si>
  <si>
    <t xml:space="preserve">VW</t>
  </si>
  <si>
    <t xml:space="preserve">HotFrog</t>
  </si>
  <si>
    <t xml:space="preserve">Manta</t>
  </si>
  <si>
    <t xml:space="preserve">Leadsnap citations (paid)</t>
  </si>
  <si>
    <t xml:space="preserve">Paid</t>
  </si>
  <si>
    <t xml:space="preserve">$20/mo</t>
  </si>
  <si>
    <t xml:space="preserve">Leadforge (paid)</t>
  </si>
  <si>
    <t xml:space="preserve">FatJoe (paid)</t>
  </si>
  <si>
    <t xml:space="preserve">Weekly schedule</t>
  </si>
  <si>
    <t xml:space="preserve">Weekly GBP update, geotagged photos, reviews from the client and the weekly email.</t>
  </si>
  <si>
    <t xml:space="preserve">Emails sent</t>
  </si>
  <si>
    <t xml:space="preserve">GBP posts done</t>
  </si>
  <si>
    <t xml:space="preserve">Photos added</t>
  </si>
  <si>
    <t xml:space="preserve">New reviews</t>
  </si>
  <si>
    <t xml:space="preserve">Starts</t>
  </si>
  <si>
    <t xml:space="preserve">Focus</t>
  </si>
  <si>
    <t xml:space="preserve">Email to send</t>
  </si>
  <si>
    <t xml:space="preserve">Email sent?</t>
  </si>
  <si>
    <t xml:space="preserve">GBP post?</t>
  </si>
  <si>
    <t xml:space="preserve">Geotagged?</t>
  </si>
  <si>
    <t xml:space="preserve">Total reviews</t>
  </si>
  <si>
    <t xml:space="preserve">Week 1 email (Emails tab)</t>
  </si>
  <si>
    <t xml:space="preserve">Starting on the GBP</t>
  </si>
  <si>
    <t xml:space="preserve">Week 2 email (Emails tab)</t>
  </si>
  <si>
    <t xml:space="preserve">Completing the GBP</t>
  </si>
  <si>
    <t xml:space="preserve">Week 3 email (Emails tab)</t>
  </si>
  <si>
    <t xml:space="preserve">GBP overview + what's next</t>
  </si>
  <si>
    <t xml:space="preserve">Week 4 email (Emails tab)</t>
  </si>
  <si>
    <t xml:space="preserve">On-page SEO basics</t>
  </si>
  <si>
    <t xml:space="preserve">Week 5 email (Emails tab)</t>
  </si>
  <si>
    <t xml:space="preserve">On-page SEO: content structure inventory</t>
  </si>
  <si>
    <t xml:space="preserve">Week 6 email (Emails tab)</t>
  </si>
  <si>
    <t xml:space="preserve">On-page SEO: content structure completion</t>
  </si>
  <si>
    <t xml:space="preserve">Week 7 email (Emails tab)</t>
  </si>
  <si>
    <t xml:space="preserve">On-page SEO overview + what's next</t>
  </si>
  <si>
    <t xml:space="preserve">Week 8 email (Emails tab)</t>
  </si>
  <si>
    <t xml:space="preserve">Citations start</t>
  </si>
  <si>
    <t xml:space="preserve">Week 9 email (Emails tab)</t>
  </si>
  <si>
    <t xml:space="preserve">Citations continued</t>
  </si>
  <si>
    <t xml:space="preserve">Week 10 email (Emails tab)</t>
  </si>
  <si>
    <t xml:space="preserve">Rankings overview</t>
  </si>
  <si>
    <t xml:space="preserve">Week 11 email (Emails tab)</t>
  </si>
  <si>
    <t xml:space="preserve">Grand overview + prep for sales call</t>
  </si>
  <si>
    <t xml:space="preserve">Week 12 email (Emails tab)</t>
  </si>
  <si>
    <t xml:space="preserve">Ongoing: weekly post, photos, reviews</t>
  </si>
  <si>
    <t xml:space="preserve">Optional monthly update</t>
  </si>
  <si>
    <t xml:space="preserve">Email templates</t>
  </si>
  <si>
    <t xml:space="preserve">Copy, fill in the [brackets], send. Week 7 is the original template from the workflow.</t>
  </si>
  <si>
    <t xml:space="preserve">Topic</t>
  </si>
  <si>
    <t xml:space="preserve">Subject</t>
  </si>
  <si>
    <t xml:space="preserve">Email</t>
  </si>
  <si>
    <t xml:space="preserve">Week 1</t>
  </si>
  <si>
    <t xml:space="preserve">Week 1: where you rank right now</t>
  </si>
  <si>
    <t xml:space="preserve">Hi [Name],
Quick update from our end.
We've set everything up and run a ranking heatmap for "[main keyword]" across [area]. It shows exactly where you appear in Google Maps today, point by point across the area. That's our starting line, and we'll compare against it at the end of the 12 weeks.
We also looked at the top 10 businesses ranking for this term: how many reviews and photos they have, which categories they use, and whether anyone in there shouldn't be.
Next week we start on your Google Business Profile.
One thing you can do straight away: ask every happy customer for a Google review. Here's your link: [review link]
Talk soon,
[Your name]</t>
  </si>
  <si>
    <t xml:space="preserve">Week 2</t>
  </si>
  <si>
    <t xml:space="preserve">Week 2: working on your Google Business Profile</t>
  </si>
  <si>
    <t xml:space="preserve">Hi [Name],
This week we started on your Google Business Profile. It's the listing that shows up in the map, and it's the biggest lever we have for local rankings.
So far we've:
1) compared your profile with the top 20 businesses for "[main keyword]"
2) tightened up your categories so Google knows exactly what you do
3) started building your full list of services
I'll send a list of services separately. Could you let me know which ones you DON'T do? That keeps everything on the profile accurate.
Will keep you posted!
[Your name]</t>
  </si>
  <si>
    <t xml:space="preserve">Week 2 (helper)</t>
  </si>
  <si>
    <t xml:space="preserve">Services check with the client</t>
  </si>
  <si>
    <t xml:space="preserve">Quick one: which of these services DON'T you do?</t>
  </si>
  <si>
    <t xml:space="preserve">Hi [Name],
I'm completing the services palette for the Google Business Profile. It helps with ranking.
Could you go over this list of services and let me know which services you guys DON'T do?
[paste the de-duplicated services list, one per line]
Thanks in advance,
[Your name]</t>
  </si>
  <si>
    <t xml:space="preserve">Week 3</t>
  </si>
  <si>
    <t xml:space="preserve">Week 3: your Google profile is nearly complete</t>
  </si>
  <si>
    <t xml:space="preserve">Hi [Name],
Quick update. We've finished most of the work on your Google Business Profile:
1) services added, with descriptions for your top 20
2) bookings link pointing to your contact page
3) FAQs added for the questions your customers ask most
4) the rest of the profile filled in so it shows as complete
If you have recent photos of your work, team or premises, send them over and we'll add them.
Will keep you posted!
[Your name]</t>
  </si>
  <si>
    <t xml:space="preserve">Week 4</t>
  </si>
  <si>
    <t xml:space="preserve">GBP: overview + what's next</t>
  </si>
  <si>
    <t xml:space="preserve">Week 4: Google profile done, here's what's next</t>
  </si>
  <si>
    <t xml:space="preserve">Hi [Name],
Here's a summary of what we've done on your Google Business Profile this month:
- Categories: [old categories] → [new categories]
- Services: [x] → [y] listed, top 20 with descriptions
- Bookings link and FAQs added
- Profile completeness: fully green
Next up is your website. Over the next four weeks we'll make sure it backs up everything the profile says: what you do, where you do it and how to reach you.
Keep the reviews and photos coming, they make a real difference.
[Your name]</t>
  </si>
  <si>
    <t xml:space="preserve">Week 5</t>
  </si>
  <si>
    <t xml:space="preserve">On-page SEO: basics</t>
  </si>
  <si>
    <t xml:space="preserve">Week 5: website updates</t>
  </si>
  <si>
    <t xml:space="preserve">Hi [Name],
This week we worked on the website basics that Google reads first:
1) the page title now includes your main service and [city]
2) the main heading on the homepage says what you do and where
3) your business name, address and phone number are in the footer, matching your Google profile exactly
4) your Google map is embedded on the homepage
Small changes, but they give Google a much clearer signal. If the text in your browser tab looks different, that's the new title.
[Your name]</t>
  </si>
  <si>
    <t xml:space="preserve">Week 6</t>
  </si>
  <si>
    <t xml:space="preserve">Week 6: mapping your website content</t>
  </si>
  <si>
    <t xml:space="preserve">Hi [Name],
This week we took stock of your website: which pages Google has indexed, which services have their own page and which areas you serve that the site doesn't mention yet.
Right now Google has [x] of your pages indexed. Businesses that rank well in your area usually have 30 or more.
Next week we start building the pages that fill those gaps. Quick question: which 5 suburbs or towns do you get the most work from? That tells us which area pages to build first.
[Your name]</t>
  </si>
  <si>
    <t xml:space="preserve">Week 7</t>
  </si>
  <si>
    <t xml:space="preserve">Week 7: update on your website content</t>
  </si>
  <si>
    <t xml:space="preserve">Hi [Name],
Update regarding what I mentioned last week.
We've mapped out:
1) what Google has currently indexed
2) what content we'll need to add to increase topical relevance
3) what content we'll need to add to increase local relevance
My team has started to put together the content we need so we can start adding that to the website and give the Google algo what it wants to improve and solidify rankings.
There will be some changes on the site, nothing grand though. It's mostly us adding things in the background, giving Google more content to index so they get a clearer view of what we do and where we do it.
Will keep you posted on progress!</t>
  </si>
  <si>
    <t xml:space="preserve">Week 8</t>
  </si>
  <si>
    <t xml:space="preserve">On-page SEO: overview + what's next</t>
  </si>
  <si>
    <t xml:space="preserve">Week 8: website work done, citations next</t>
  </si>
  <si>
    <t xml:space="preserve">Hi [Name],
Here's where we're at with the website:
- [x] new service pages
- [x] new area pages, plus an "Areas we serve" page in the menu
- all pages linked together so customers and Google can find everything easily
- local business schema added (code that tells Google your business details)
Google now has [x] of your pages to index, up from [y].
Next we move on to citations: making sure your business is listed correctly on the sites Google trusts. Some of these send a verification code by email or phone, so I may ask you to forward one or two.
[Your name]</t>
  </si>
  <si>
    <t xml:space="preserve">Week 9</t>
  </si>
  <si>
    <t xml:space="preserve">Week 9: getting you listed in the right places</t>
  </si>
  <si>
    <t xml:space="preserve">Hi [Name],
This week we started on citations. These are listings of your business name, address and phone number on trusted sites, and Google uses them to confirm you're a real local business.
We've started with the essentials: Bing, Apple Maps, Foursquare and Yelp. You might get verification emails or calls from some of these. If you do, just forward them to me.
[Your name]</t>
  </si>
  <si>
    <t xml:space="preserve">Week 10</t>
  </si>
  <si>
    <t xml:space="preserve">Week 10: more listings live</t>
  </si>
  <si>
    <t xml:space="preserve">Hi [Name],
Update on citations. The core listings are [live / in verification], and we've added you to the directories that rank on Google for "[main keyword]": [list]. If Google ranks these sites for your search, it trusts them, which makes them the best places to be listed.
Next week we re-run the ranking heatmap so we can compare with where we started.
[Your name]</t>
  </si>
  <si>
    <t xml:space="preserve">Week 11</t>
  </si>
  <si>
    <t xml:space="preserve">Week 11: how your rankings have moved</t>
  </si>
  <si>
    <t xml:space="preserve">Hi [Name],
We re-ran the heatmap for "[main keyword]" this week. Quick comparison with week 1:
- Average rank: [x] → [y]
- Grid points in the top 3: [x] → [y]
- Reviews: [x] → [y]
- Photos: [x] → [y]
[1–2 sentences: where you're strongest now and where there's room to grow]
I'll put together the full overview for next week.
[Your name]</t>
  </si>
  <si>
    <t xml:space="preserve">Week 12</t>
  </si>
  <si>
    <t xml:space="preserve">Week 12: your 12-week overview</t>
  </si>
  <si>
    <t xml:space="preserve">Hi [Name],
We've hit the 12-week mark, so here's the full picture.
What we did: [Google Business Profile, website, new pages, citations]
Where you started: [week 1 heatmap]
Where you are now: [week 12 heatmap]
What's next: [recommendations, e.g. more area pages, review push, ads for the hardest areas]
I'd love to walk you through it on a quick call. Does [day / time] work?
[Your name]</t>
  </si>
  <si>
    <t xml:space="preserve">Any week</t>
  </si>
  <si>
    <t xml:space="preserve">Client habits reminder</t>
  </si>
  <si>
    <t xml:space="preserve">Two things that help your rankings most</t>
  </si>
  <si>
    <t xml:space="preserve">Hi [Name],
Quick reminder of the two things that help your rankings most:
1) Reviews: ask every happy customer for a Google review, every time. A steady stream matters more than a big batch. Your link: [review link]
2) Photos: send me new pictures of your work, team or premises every week (or post them on Instagram / Facebook and we'll grab them).
Thanks!
[Your name]</t>
  </si>
  <si>
    <t xml:space="preserve">Rank log</t>
  </si>
  <si>
    <t xml:space="preserve">One row per heatmap run. The chart tracks average rank (lower is better) and reviews.</t>
  </si>
  <si>
    <t xml:space="preserve">plumber springfield</t>
  </si>
  <si>
    <t xml:space="preserve">Example row: overwrite with the baseline run</t>
  </si>
  <si>
    <t xml:space="preserve">Blackhat log</t>
  </si>
  <si>
    <t xml:space="preserve">We do white-hat only. Report a listing ONLY when you're 100% sure it's fake. Bad reports make Google ignore future ones.</t>
  </si>
  <si>
    <t xml:space="preserve">Business (as listed)</t>
  </si>
  <si>
    <t xml:space="preserve">GBP link</t>
  </si>
  <si>
    <t xml:space="preserve">Keyword-stuffed name?</t>
  </si>
  <si>
    <t xml:space="preserve">Implausible address?</t>
  </si>
  <si>
    <t xml:space="preserve">No address on website?</t>
  </si>
  <si>
    <t xml:space="preserve">Rented-out suspicion?</t>
  </si>
  <si>
    <t xml:space="preserve">Evidence (photo / video / notes)</t>
  </si>
  <si>
    <t xml:space="preserve">100% sure?</t>
  </si>
  <si>
    <t xml:space="preserve">Reported on</t>
  </si>
  <si>
    <t xml:space="preserve">Method</t>
  </si>
  <si>
    <t xml:space="preserve">Outcome</t>
  </si>
  <si>
    <t xml:space="preserve">MANCHESTER TREE &amp; STUMP REMOVALS/TREE SURGEON M4</t>
  </si>
  <si>
    <t xml:space="preserve">Yes (shopping mall)</t>
  </si>
  <si>
    <t xml:space="preserve">Photo of the mall interior; site shows phone only</t>
  </si>
  <si>
    <t xml:space="preserve">Suggest an edit → Place is closed or not here</t>
  </si>
  <si>
    <t xml:space="preserve">Pending</t>
  </si>
  <si>
    <t xml:space="preserve">How to report: open the listing → Suggest an edit → 'Place is closed or not here'. Add a photo of the location and a short explanation. If it doesn't work, the client can film a walk past the address and you report again.</t>
  </si>
  <si>
    <t xml:space="preserve">AI prompts</t>
  </si>
  <si>
    <t xml:space="preserve">Prompts from the workflow. Replace the CAPITAL / [bracketed] parts.</t>
  </si>
  <si>
    <t xml:space="preserve">Prompt</t>
  </si>
  <si>
    <t xml:space="preserve">Use it for</t>
  </si>
  <si>
    <t xml:space="preserve">Text</t>
  </si>
  <si>
    <t xml:space="preserve">Remove duplicate services</t>
  </si>
  <si>
    <t xml:space="preserve">Cleaning the competitor services list before adding it to the GBP</t>
  </si>
  <si>
    <t xml:space="preserve">I'm pasting a list of services from competitors.
Your task:
1. Remove all exact duplicates
2. Remove all near-identical variants of the same term. Keep only ONE version of each — choose the most common or professional form, but do NOT edit or reword it beyond selecting one from the list.
3. Do NOT add, remove, combine, rephrase, or limit characters in any way.
4. Do NOT group, categorize, or format — just output the final clean list, one service per line, nothing else.
List:
[PASTE YOUR LIST HERE]</t>
  </si>
  <si>
    <t xml:space="preserve">Sort services into categories</t>
  </si>
  <si>
    <t xml:space="preserve">Only when the GBP has more than one category</t>
  </si>
  <si>
    <t xml:space="preserve">Sort the following services under these Google Business Profile categories: [PRIMARY CATEGORY], [SECONDARY CATEGORIES]. Put each service under exactly one category. Do not rename, add or remove services. Output each category name followed by its services, one per line.
[PASTE YOUR CLEAN SERVICES LIST]</t>
  </si>
  <si>
    <t xml:space="preserve">Top-20 service descriptions</t>
  </si>
  <si>
    <t xml:space="preserve">Descriptions for the 20 most important services</t>
  </si>
  <si>
    <t xml:space="preserve">I need a service description for each item in the top 20. Service description has to be 300 characters or less.
Business: [BUSINESS NAME], a [TYPE OF BUSINESS] in [CITY].
Top 20 services:
[PASTE TOP 20]</t>
  </si>
  <si>
    <t xml:space="preserve">GBP FAQs</t>
  </si>
  <si>
    <t xml:space="preserve">FAQ section on the Google Business Profile</t>
  </si>
  <si>
    <t xml:space="preserve">Generate a couple of FAQ questions and answers applicable for this company, this niche, in this location.
Company: [BUSINESS NAME]
Niche: [TYPE OF BUSINESS]
Location: [CITY / SERVICE AREA]
Keep each answer short, factual and specific to the business.</t>
  </si>
  <si>
    <t xml:space="preserve">Title tag</t>
  </si>
  <si>
    <t xml:space="preserve">Homepage / GBP landing page title (Basic on-page)</t>
  </si>
  <si>
    <t xml:space="preserve">Write a title tag in this format, around 200 characters max:
BEST + [PRIMARY CATEGORY] + [CITY] - if you're looking for [PRIMARY SERVICE] near me or [SECONDARY SERVICES] near me - [BUSINESS NAME] is the place to be
Example: BEST Physiotherapist Portsmouth - if you're looking for Physiotherapy Services near me or Sports Injuries &amp; Sports Massage near me - Hope Physiotherapy is the place to be</t>
  </si>
  <si>
    <t xml:space="preserve">Service page (topical authority)</t>
  </si>
  <si>
    <t xml:space="preserve">ADVANCED: one 1,000–2,000+ word page per service</t>
  </si>
  <si>
    <t xml:space="preserve">You are an experienced local SEO copywriter who specializes in &lt;TYPE OF BUSINESS&gt; businesses. You write engaging, trustworthy content that ranks well and actually gets read by real people.
Task: Create a high-value services page (1,800–2,500 words) to build topical authority around the core topic: "WRITE THE TOPIC HERE. FOR EXAMPLE - SERVICES THAT OUR SKINCARE CLINIC IN LOCATION OFFERS".
Target audience: &lt;PUT YOUR TARGET AUDIENCE HERE&gt;.
Search intent: Primarily informational with some commercial – people want to discover the best options, different services, find top local recommendations, get practical tips.
Primary keyword: "PRIMARY KEYWORD HERE"
Secondary / related keywords to include naturally: IF YOU HAVE THEM, LIST SECONDARY KEYWORDS HERE.
Instructions:
1. Start with a short summary of search intent and why this page will satisfy it better than competitors.
2. Build a clear, scannable outline (H1–H3) that covers the topic logically: intro → key concepts → local scene → recommendations → tips → FAQs.
3. Show expertise (E-E-A-T): Include practical insights, mention real local spots/entities, and add unique tips or a simple checklist.
4. Structure the article:
   - Hook + promise in the intro
   - Main sections with short paragraphs, bullets, numbered lists, and 1–2 small tables
   - Internal linking: Suggest 4–7 natural places to link to supporting pages with example anchor text
   - FAQ section (6–10 common questions)
   - Friendly conclusion + CTA (visit us, explore menu, etc.)
5. Tone: Warm, expert but approachable, conversational – like chatting with a knowledgeable expert. Human-sounding, no fluff or repetition.
6. At the end, add:
   - Suggested SEO title (60–120 chars)
   - Meta description (150–160 chars)
   - H1 suggestion
   - 3–4 image alt text ideas (local-flavored)
   - Brief LocalBusiness or FAQ schema outline
Output format:
## Quick Strategy Summary
## Outline
## Full Article
## SEO Elements</t>
  </si>
  <si>
    <t xml:space="preserve">Area page (local authority)</t>
  </si>
  <si>
    <t xml:space="preserve">ADVANCED: one page per area served</t>
  </si>
  <si>
    <t xml:space="preserve">You are a senior local SEO specialist who has ranked dozens of single-location businesses in competitive cities like Amsterdam by creating hyperlocal landing pages that dominate neighborhood-specific searches.
Task: Write a high-converting, SEO-optimized neighborhood landing page (1,200–2,200 words) for our &lt;type of business&gt; "BUSINESS NAME" located in LOCATION and serving [AREA1].
Page goal: Rank for queries like "[service] [neighborhood]", "best [service] in [neighborhood]", "[service] near [landmark]".
Primary keyword: "[e.g., PRIMARY KEYWORD]"
Key business facts to weave in naturally:
- Physical address: [FULL NAP HERE]
- Distance/proximity:
- Unique selling points: [LIST ANY UNIQUE SELLING POINTS YOUR CLIENT HAS]
- Local tie-ins: Mention neighborhood-specific landmarks, events, pain points
Instructions:
1. First, analyze hyperlocal intent: What do searchers in this neighborhood really want? How can we prove relevance without claiming a fake address?
2. Create a scannable outline (H1–H3) that feels local-first: neighborhood intro → why we're perfect for locals here → services/products tailored to area → directions/proof → FAQs → CTA.
3. Build local authority &amp; E-E-A-T:
   - Use real neighborhood references (streets, markets, events, history)
   - Include proximity proof + Google Maps embed suggestion
   - Mention local customer types/stories
   - Add 2025–2026 relevant local stats or trends if natural
4. Structure:
   - Compelling H1 + introduction with local hook
   - Sections on tailored offerings
   - "Why Locals Choose Us" with bullets or mini-testimonials
   - Directions + transport tips from key local spots
   - Embedded map + "Get Directions" CTA suggestion
   - 8–10 local-flavored FAQs
   - Strong CTA
5. On-page SEO at the end:
   - SEO title &amp; meta description (hyperlocal + compelling)
   - Suggested schema: LocalBusiness + areaServed including neighborhood
   - 4–6 image alt texts with local keywords
   - Internal linking: 5–7 suggestions to services, menu, blog, other neighborhoods
6. Tone: Warm, community-oriented, expert but neighborly. Human, trustworthy voice — no generic corporate speak.
Output format:
## Hyperlocal Intent Analysis
## Page Outline
## Full Page Content
## On-Page SEO &amp; Schema Recommendations
Note: only use real testimonials from the client. Never invent reviews or customer stories.</t>
  </si>
  <si>
    <t xml:space="preserve">Backlink / citation ideas</t>
  </si>
  <si>
    <t xml:space="preserve">ADVANCED citations</t>
  </si>
  <si>
    <t xml:space="preserve">Can you suggest some backlinks I could get for a &lt;niche&gt; in &lt;location&gt;?</t>
  </si>
  <si>
    <t xml:space="preserve">Weekly GBP update</t>
  </si>
  <si>
    <t xml:space="preserve">Weekly post on the Google Business Profile</t>
  </si>
  <si>
    <t xml:space="preserve">Write a short Google Business Profile update (under 1,000 characters) for [BUSINESS NAME], a [TYPE OF BUSINESS] in [CITY]. Topic this week: [recent job / seasonal tip / offer / FAQ]. Mention [SUBURB OR AREA] naturally, keep it friendly and specific, and end with a clear call to action (call, book or visit).</t>
  </si>
</sst>
</file>

<file path=xl/styles.xml><?xml version="1.0" encoding="utf-8"?>
<styleSheet xmlns="http://schemas.openxmlformats.org/spreadsheetml/2006/main">
  <numFmts count="6">
    <numFmt numFmtId="164" formatCode="General"/>
    <numFmt numFmtId="165" formatCode="dd/mm/yyyy"/>
    <numFmt numFmtId="166" formatCode="0%"/>
    <numFmt numFmtId="167" formatCode="General"/>
    <numFmt numFmtId="168" formatCode="\+0%;\-0%;0%"/>
    <numFmt numFmtId="169" formatCode="0.0"/>
  </numFmts>
  <fonts count="21">
    <font>
      <sz val="11"/>
      <color theme="1"/>
      <name val="Calibri"/>
      <family val="2"/>
      <charset val="1"/>
    </font>
    <font>
      <sz val="10"/>
      <name val="Arial"/>
      <family val="0"/>
    </font>
    <font>
      <sz val="10"/>
      <name val="Arial"/>
      <family val="0"/>
    </font>
    <font>
      <sz val="10"/>
      <name val="Arial"/>
      <family val="0"/>
    </font>
    <font>
      <b val="true"/>
      <sz val="16"/>
      <color rgb="FF141A4D"/>
      <name val="Arial"/>
      <family val="0"/>
      <charset val="1"/>
    </font>
    <font>
      <i val="true"/>
      <sz val="10"/>
      <color rgb="FF62678A"/>
      <name val="Arial"/>
      <family val="0"/>
      <charset val="1"/>
    </font>
    <font>
      <b val="true"/>
      <sz val="12"/>
      <color rgb="FF2D3BD1"/>
      <name val="Arial"/>
      <family val="0"/>
      <charset val="1"/>
    </font>
    <font>
      <b val="true"/>
      <sz val="10"/>
      <name val="Arial"/>
      <family val="0"/>
      <charset val="1"/>
    </font>
    <font>
      <sz val="10"/>
      <name val="Arial"/>
      <family val="0"/>
      <charset val="1"/>
    </font>
    <font>
      <b val="true"/>
      <i val="true"/>
      <sz val="10"/>
      <color rgb="FF62678A"/>
      <name val="Arial"/>
      <family val="0"/>
      <charset val="1"/>
    </font>
    <font>
      <b val="true"/>
      <sz val="10"/>
      <color rgb="FFFFFFFF"/>
      <name val="Arial"/>
      <family val="0"/>
      <charset val="1"/>
    </font>
    <font>
      <sz val="10"/>
      <color rgb="FF0000FF"/>
      <name val="Arial"/>
      <family val="0"/>
      <charset val="1"/>
    </font>
    <font>
      <sz val="10"/>
      <color rgb="FF62678A"/>
      <name val="Arial"/>
      <family val="0"/>
      <charset val="1"/>
    </font>
    <font>
      <sz val="10"/>
      <color rgb="FF0F1433"/>
      <name val="Arial"/>
      <family val="0"/>
      <charset val="1"/>
    </font>
    <font>
      <b val="true"/>
      <sz val="10"/>
      <color rgb="FF0F1433"/>
      <name val="Arial"/>
      <family val="0"/>
      <charset val="1"/>
    </font>
    <font>
      <sz val="10"/>
      <color rgb="FF8A2BE2"/>
      <name val="Arial"/>
      <family val="0"/>
      <charset val="1"/>
    </font>
    <font>
      <b val="true"/>
      <sz val="10"/>
      <color rgb="FF62678A"/>
      <name val="Arial"/>
      <family val="0"/>
      <charset val="1"/>
    </font>
    <font>
      <sz val="10"/>
      <color rgb="FF2D3BD1"/>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FFF3CF"/>
        <bgColor rgb="FFFDECE8"/>
      </patternFill>
    </fill>
    <fill>
      <patternFill patternType="solid">
        <fgColor rgb="FFF4F5FA"/>
        <bgColor rgb="FFEEEFF3"/>
      </patternFill>
    </fill>
    <fill>
      <patternFill patternType="solid">
        <fgColor rgb="FF141A4D"/>
        <bgColor rgb="FF0F1433"/>
      </patternFill>
    </fill>
    <fill>
      <patternFill patternType="solid">
        <fgColor rgb="FF2D3BD1"/>
        <bgColor rgb="FF5B2EA6"/>
      </patternFill>
    </fill>
  </fills>
  <borders count="2">
    <border diagonalUp="false" diagonalDown="false">
      <left/>
      <right/>
      <top/>
      <bottom/>
      <diagonal/>
    </border>
    <border diagonalUp="false" diagonalDown="false">
      <left style="thin">
        <color rgb="FFDCDFEC"/>
      </left>
      <right style="thin">
        <color rgb="FFDCDFEC"/>
      </right>
      <top style="thin">
        <color rgb="FFDCDFEC"/>
      </top>
      <bottom style="thin">
        <color rgb="FFDCDF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9" fillId="3" borderId="1"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8" fillId="2" borderId="1" xfId="0" applyFont="true" applyBorder="true" applyAlignment="true" applyProtection="false">
      <alignment horizontal="general" vertical="center" textRotation="0" wrapText="false" indent="0" shrinkToFit="false"/>
      <protection locked="true" hidden="false"/>
    </xf>
    <xf numFmtId="164" fontId="11" fillId="2" borderId="1" xfId="0" applyFont="true" applyBorder="true" applyAlignment="true" applyProtection="false">
      <alignment horizontal="general" vertical="center" textRotation="0" wrapText="false" indent="0" shrinkToFit="false"/>
      <protection locked="true" hidden="false"/>
    </xf>
    <xf numFmtId="166" fontId="8" fillId="0" borderId="1" xfId="0" applyFont="true" applyBorder="true" applyAlignment="true" applyProtection="false">
      <alignment horizontal="general" vertical="center" textRotation="0" wrapText="false" indent="0" shrinkToFit="false"/>
      <protection locked="true" hidden="false"/>
    </xf>
    <xf numFmtId="167" fontId="8" fillId="3" borderId="1" xfId="0" applyFont="true" applyBorder="true" applyAlignment="true" applyProtection="false">
      <alignment horizontal="general" vertical="center" textRotation="0" wrapText="false" indent="0" shrinkToFit="false"/>
      <protection locked="true" hidden="false"/>
    </xf>
    <xf numFmtId="166" fontId="8" fillId="3" borderId="1"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center" textRotation="0" wrapText="false" indent="0" shrinkToFit="false"/>
      <protection locked="true" hidden="false"/>
    </xf>
    <xf numFmtId="166" fontId="8" fillId="2" borderId="1" xfId="0" applyFont="true" applyBorder="true" applyAlignment="true" applyProtection="false">
      <alignment horizontal="general" vertical="center" textRotation="0" wrapText="false" indent="0" shrinkToFit="false"/>
      <protection locked="true" hidden="false"/>
    </xf>
    <xf numFmtId="168" fontId="8" fillId="0"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10" fillId="5" borderId="1" xfId="0" applyFont="true" applyBorder="true" applyAlignment="true" applyProtection="false">
      <alignment horizontal="general" vertical="center" textRotation="0" wrapText="false" indent="0" shrinkToFit="false"/>
      <protection locked="true" hidden="false"/>
    </xf>
    <xf numFmtId="169" fontId="8"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center" textRotation="0" wrapText="false" indent="0" shrinkToFit="false"/>
      <protection locked="true" hidden="false"/>
    </xf>
    <xf numFmtId="164" fontId="13" fillId="2"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65" fontId="5" fillId="2" borderId="1" xfId="0" applyFont="true" applyBorder="true" applyAlignment="true" applyProtection="false">
      <alignment horizontal="general" vertical="center" textRotation="0" wrapText="false" indent="0" shrinkToFit="false"/>
      <protection locked="true" hidden="false"/>
    </xf>
    <xf numFmtId="166" fontId="5" fillId="2"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08785A"/>
      </font>
      <fill>
        <patternFill>
          <bgColor rgb="FFDDF4EC"/>
        </patternFill>
      </fill>
    </dxf>
    <dxf>
      <font>
        <name val="Arial"/>
        <charset val="1"/>
        <family val="0"/>
        <b val="1"/>
        <color rgb="FF7A5600"/>
      </font>
      <fill>
        <patternFill>
          <bgColor rgb="FFFFF3CF"/>
        </patternFill>
      </fill>
    </dxf>
    <dxf>
      <font>
        <name val="Arial"/>
        <charset val="1"/>
        <family val="0"/>
        <b val="1"/>
        <color rgb="FF5B2EA6"/>
      </font>
      <fill>
        <patternFill>
          <bgColor rgb="FFF1E8FF"/>
        </patternFill>
      </fill>
    </dxf>
    <dxf>
      <font>
        <name val="Arial"/>
        <charset val="1"/>
        <family val="0"/>
        <b val="1"/>
        <color rgb="FF62678A"/>
      </font>
      <fill>
        <patternFill>
          <bgColor rgb="FFEEEFF3"/>
        </patternFill>
      </fill>
    </dxf>
    <dxf>
      <font>
        <name val="Arial"/>
        <charset val="1"/>
        <family val="0"/>
        <b val="1"/>
        <color rgb="FFC23B26"/>
      </font>
      <fill>
        <patternFill>
          <bgColor rgb="FFFDECE8"/>
        </patternFill>
      </fill>
    </dxf>
    <dxf>
      <fill>
        <patternFill patternType="solid">
          <fgColor rgb="FF141A4D"/>
          <bgColor rgb="FF000000"/>
        </patternFill>
      </fill>
    </dxf>
    <dxf>
      <fill>
        <patternFill patternType="solid">
          <bgColor rgb="FF000000"/>
        </patternFill>
      </fill>
    </dxf>
    <dxf>
      <fill>
        <patternFill patternType="solid">
          <fgColor rgb="FF0F1433"/>
          <bgColor rgb="FF000000"/>
        </patternFill>
      </fill>
    </dxf>
    <dxf>
      <fill>
        <patternFill patternType="solid">
          <fgColor rgb="FFFFFFFF"/>
          <bgColor rgb="FF000000"/>
        </patternFill>
      </fill>
    </dxf>
    <dxf>
      <fill>
        <patternFill patternType="solid">
          <fgColor rgb="FF8A2BE2"/>
          <bgColor rgb="FF000000"/>
        </patternFill>
      </fill>
    </dxf>
    <dxf>
      <fill>
        <patternFill patternType="solid">
          <fgColor rgb="FFFFF3CF"/>
          <bgColor rgb="FF000000"/>
        </patternFill>
      </fill>
    </dxf>
    <dxf>
      <font>
        <name val="Arial"/>
        <charset val="1"/>
        <family val="0"/>
        <strike val="1"/>
        <color rgb="FF62678A"/>
      </font>
    </dxf>
    <dxf>
      <font>
        <name val="Arial"/>
        <charset val="1"/>
        <family val="0"/>
        <b val="1"/>
        <color rgb="FF2D3BD1"/>
      </font>
      <fill>
        <patternFill>
          <bgColor rgb="FFE5E8FC"/>
        </patternFill>
      </fill>
    </dxf>
    <dxf>
      <fill>
        <patternFill patternType="solid">
          <fgColor rgb="FF2D3BD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5600"/>
      <rgbColor rgb="FF800080"/>
      <rgbColor rgb="FF08785A"/>
      <rgbColor rgb="FFDCDFEC"/>
      <rgbColor rgb="FF878787"/>
      <rgbColor rgb="FF9999FF"/>
      <rgbColor rgb="FF5B2EA6"/>
      <rgbColor rgb="FFFFF3CF"/>
      <rgbColor rgb="FFDDF4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5E8FC"/>
      <rgbColor rgb="FFEEEFF3"/>
      <rgbColor rgb="FFFDECE8"/>
      <rgbColor rgb="FFF4F5FA"/>
      <rgbColor rgb="FFFF99CC"/>
      <rgbColor rgb="FFCC99FF"/>
      <rgbColor rgb="FFF1E8FF"/>
      <rgbColor rgb="FF4A7EBB"/>
      <rgbColor rgb="FF33CCCC"/>
      <rgbColor rgb="FF99CC00"/>
      <rgbColor rgb="FFFFCC00"/>
      <rgbColor rgb="FFFF9900"/>
      <rgbColor rgb="FFFF6600"/>
      <rgbColor rgb="FF62678A"/>
      <rgbColor rgb="FF969696"/>
      <rgbColor rgb="FF141A4D"/>
      <rgbColor rgb="FF339966"/>
      <rgbColor rgb="FF0F1433"/>
      <rgbColor rgb="FF333300"/>
      <rgbColor rgb="FFC23B26"/>
      <rgbColor rgb="FF8A2BE2"/>
      <rgbColor rgb="FF2D3BD1"/>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rank over time (lower is better)</a:t>
            </a:r>
          </a:p>
        </c:rich>
      </c:tx>
      <c:overlay val="0"/>
      <c:spPr>
        <a:noFill/>
        <a:ln w="0">
          <a:noFill/>
        </a:ln>
      </c:spPr>
    </c:title>
    <c:autoTitleDeleted val="0"/>
    <c:plotArea>
      <c:lineChart>
        <c:grouping val="standard"/>
        <c:varyColors val="0"/>
        <c:ser>
          <c:idx val="0"/>
          <c:order val="0"/>
          <c:tx>
            <c:strRef>
              <c:f>'Rank Log'!C4</c:f>
              <c:strCache>
                <c:ptCount val="1"/>
                <c:pt idx="0">
                  <c:v>Avg rank</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'Rank Log'!$A$5:$A$34</c:f>
              <c:strCache>
                <c:ptCount val="3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strCache>
            </c:strRef>
          </c:cat>
          <c:val>
            <c:numRef>
              <c:f>'Rank Log'!$C$5:$C$34</c:f>
              <c:numCache>
                <c:formatCode>General</c:formatCode>
                <c:ptCount val="30"/>
                <c:pt idx="0">
                  <c:v>14.2</c:v>
                </c:pt>
              </c:numCache>
            </c:numRef>
          </c:val>
          <c:smooth val="1"/>
        </c:ser>
        <c:hiLowLines>
          <c:spPr>
            <a:ln w="0">
              <a:noFill/>
            </a:ln>
          </c:spPr>
        </c:hiLowLines>
        <c:marker val="0"/>
        <c:axId val="4369700"/>
        <c:axId val="83229120"/>
      </c:lineChart>
      <c:catAx>
        <c:axId val="43697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229120"/>
        <c:crosses val="autoZero"/>
        <c:auto val="1"/>
        <c:lblAlgn val="ctr"/>
        <c:lblOffset val="100"/>
        <c:noMultiLvlLbl val="0"/>
      </c:catAx>
      <c:valAx>
        <c:axId val="83229120"/>
        <c:scaling>
          <c:orientation val="maxMin"/>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rank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697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0</xdr:rowOff>
    </xdr:from>
    <xdr:to>
      <xdr:col>19</xdr:col>
      <xdr:colOff>364320</xdr:colOff>
      <xdr:row>16</xdr:row>
      <xdr:rowOff>32400</xdr:rowOff>
    </xdr:to>
    <xdr:graphicFrame>
      <xdr:nvGraphicFramePr>
        <xdr:cNvPr id="0" name="Chart 1"/>
        <xdr:cNvGraphicFramePr/>
      </xdr:nvGraphicFramePr>
      <xdr:xfrm>
        <a:off x="10549800" y="733320"/>
        <a:ext cx="64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G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40"/>
    <col collapsed="false" customWidth="true" hidden="false" outlineLevel="0" max="4" min="4" style="0" width="46"/>
    <col collapsed="false" customWidth="true" hidden="false" outlineLevel="0" max="6" min="5" style="0" width="12"/>
    <col collapsed="false" customWidth="true" hidden="false" outlineLevel="0" max="7" min="7" style="0" width="14"/>
  </cols>
  <sheetData>
    <row r="1" customFormat="false" ht="27.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15" hidden="false" customHeight="false" outlineLevel="0" collapsed="false">
      <c r="B5" s="4" t="s">
        <v>3</v>
      </c>
      <c r="C5" s="5" t="s">
        <v>4</v>
      </c>
      <c r="D5" s="5"/>
    </row>
    <row r="6" customFormat="false" ht="15" hidden="false" customHeight="false" outlineLevel="0" collapsed="false">
      <c r="B6" s="6" t="s">
        <v>5</v>
      </c>
      <c r="C6" s="5" t="s">
        <v>6</v>
      </c>
      <c r="D6" s="5"/>
    </row>
    <row r="7" customFormat="false" ht="15" hidden="false" customHeight="false" outlineLevel="0" collapsed="false">
      <c r="B7" s="7" t="s">
        <v>7</v>
      </c>
      <c r="C7" s="5" t="s">
        <v>8</v>
      </c>
      <c r="D7" s="5"/>
    </row>
    <row r="8" customFormat="false" ht="15" hidden="false" customHeight="false" outlineLevel="0" collapsed="false">
      <c r="B8" s="6" t="s">
        <v>9</v>
      </c>
      <c r="C8" s="5" t="s">
        <v>10</v>
      </c>
      <c r="D8" s="5"/>
    </row>
    <row r="10" customFormat="false" ht="15" hidden="false" customHeight="false" outlineLevel="0" collapsed="false">
      <c r="B10" s="3" t="s">
        <v>11</v>
      </c>
    </row>
    <row r="11" customFormat="false" ht="30" hidden="false" customHeight="true" outlineLevel="0" collapsed="false">
      <c r="B11" s="8" t="s">
        <v>12</v>
      </c>
      <c r="C11" s="8" t="s">
        <v>13</v>
      </c>
      <c r="D11" s="8" t="s">
        <v>14</v>
      </c>
    </row>
    <row r="12" customFormat="false" ht="15" hidden="false" customHeight="false" outlineLevel="0" collapsed="false">
      <c r="B12" s="9" t="s">
        <v>15</v>
      </c>
      <c r="C12" s="10"/>
      <c r="D12" s="11" t="s">
        <v>16</v>
      </c>
    </row>
    <row r="13" customFormat="false" ht="15" hidden="false" customHeight="false" outlineLevel="0" collapsed="false">
      <c r="B13" s="9" t="s">
        <v>17</v>
      </c>
      <c r="C13" s="10"/>
      <c r="D13" s="11" t="s">
        <v>18</v>
      </c>
    </row>
    <row r="14" customFormat="false" ht="15" hidden="false" customHeight="false" outlineLevel="0" collapsed="false">
      <c r="B14" s="9" t="s">
        <v>19</v>
      </c>
      <c r="C14" s="10"/>
      <c r="D14" s="11" t="s">
        <v>20</v>
      </c>
    </row>
    <row r="15" customFormat="false" ht="15" hidden="false" customHeight="false" outlineLevel="0" collapsed="false">
      <c r="B15" s="9" t="s">
        <v>21</v>
      </c>
      <c r="C15" s="10"/>
      <c r="D15" s="11" t="s">
        <v>22</v>
      </c>
    </row>
    <row r="16" customFormat="false" ht="15" hidden="false" customHeight="false" outlineLevel="0" collapsed="false">
      <c r="B16" s="9" t="s">
        <v>23</v>
      </c>
      <c r="C16" s="10"/>
      <c r="D16" s="11" t="s">
        <v>24</v>
      </c>
    </row>
    <row r="17" customFormat="false" ht="15" hidden="false" customHeight="false" outlineLevel="0" collapsed="false">
      <c r="B17" s="9" t="s">
        <v>25</v>
      </c>
      <c r="C17" s="10"/>
      <c r="D17" s="11" t="s">
        <v>26</v>
      </c>
    </row>
    <row r="18" customFormat="false" ht="15" hidden="false" customHeight="false" outlineLevel="0" collapsed="false">
      <c r="B18" s="9" t="s">
        <v>27</v>
      </c>
      <c r="C18" s="10"/>
      <c r="D18" s="11" t="s">
        <v>28</v>
      </c>
    </row>
    <row r="19" customFormat="false" ht="15" hidden="false" customHeight="false" outlineLevel="0" collapsed="false">
      <c r="B19" s="9" t="s">
        <v>29</v>
      </c>
      <c r="C19" s="12"/>
      <c r="D19" s="11" t="s">
        <v>30</v>
      </c>
    </row>
    <row r="20" customFormat="false" ht="15" hidden="false" customHeight="false" outlineLevel="0" collapsed="false">
      <c r="B20" s="9" t="s">
        <v>31</v>
      </c>
      <c r="C20" s="10"/>
      <c r="D20" s="11" t="s">
        <v>32</v>
      </c>
    </row>
    <row r="21" customFormat="false" ht="15" hidden="false" customHeight="false" outlineLevel="0" collapsed="false">
      <c r="B21" s="9" t="s">
        <v>33</v>
      </c>
      <c r="C21" s="10"/>
      <c r="D21" s="11" t="s">
        <v>34</v>
      </c>
    </row>
    <row r="22" customFormat="false" ht="15" hidden="false" customHeight="false" outlineLevel="0" collapsed="false">
      <c r="B22" s="9" t="s">
        <v>35</v>
      </c>
      <c r="C22" s="10"/>
      <c r="D22" s="11" t="s">
        <v>36</v>
      </c>
    </row>
    <row r="23" customFormat="false" ht="15" hidden="false" customHeight="false" outlineLevel="0" collapsed="false">
      <c r="B23" s="9" t="s">
        <v>37</v>
      </c>
      <c r="C23" s="10"/>
      <c r="D23" s="11" t="s">
        <v>38</v>
      </c>
    </row>
    <row r="24" customFormat="false" ht="15" hidden="false" customHeight="false" outlineLevel="0" collapsed="false">
      <c r="B24" s="9" t="s">
        <v>39</v>
      </c>
      <c r="C24" s="10" t="s">
        <v>40</v>
      </c>
      <c r="D24" s="11" t="s">
        <v>41</v>
      </c>
    </row>
    <row r="25" customFormat="false" ht="15" hidden="false" customHeight="false" outlineLevel="0" collapsed="false">
      <c r="B25" s="9" t="s">
        <v>42</v>
      </c>
      <c r="C25" s="13" t="n">
        <v>30</v>
      </c>
      <c r="D25" s="11" t="s">
        <v>43</v>
      </c>
    </row>
    <row r="26" customFormat="false" ht="15" hidden="false" customHeight="false" outlineLevel="0" collapsed="false">
      <c r="B26" s="9" t="s">
        <v>44</v>
      </c>
      <c r="C26" s="5" t="str">
        <f aca="true">IF(C19="","",MAX(1,MIN(12,INT((TODAY()-C19)/7)+1)))</f>
        <v/>
      </c>
      <c r="D26" s="11" t="s">
        <v>45</v>
      </c>
    </row>
    <row r="29" customFormat="false" ht="15" hidden="false" customHeight="false" outlineLevel="0" collapsed="false">
      <c r="B29" s="3" t="s">
        <v>46</v>
      </c>
    </row>
    <row r="30" customFormat="false" ht="30" hidden="false" customHeight="true" outlineLevel="0" collapsed="false">
      <c r="B30" s="8" t="s">
        <v>47</v>
      </c>
      <c r="C30" s="8" t="s">
        <v>48</v>
      </c>
      <c r="D30" s="8" t="s">
        <v>49</v>
      </c>
      <c r="E30" s="8" t="s">
        <v>50</v>
      </c>
      <c r="F30" s="8" t="s">
        <v>51</v>
      </c>
      <c r="G30" s="8" t="s">
        <v>52</v>
      </c>
    </row>
    <row r="31" customFormat="false" ht="15" hidden="false" customHeight="false" outlineLevel="0" collapsed="false">
      <c r="B31" s="9" t="s">
        <v>53</v>
      </c>
      <c r="C31" s="5" t="n">
        <f aca="false">COUNTIF(Checklist!$C$5:$C$200,B31)</f>
        <v>12</v>
      </c>
      <c r="D31" s="5" t="n">
        <f aca="false">COUNTIFS(Checklist!$C$5:$C$200,B31,Checklist!$I$5:$I$200,"Done")</f>
        <v>0</v>
      </c>
      <c r="E31" s="5" t="n">
        <f aca="false">COUNTIFS(Checklist!$C$5:$C$200,B31,Checklist!$I$5:$I$200,"N/A")</f>
        <v>0</v>
      </c>
      <c r="F31" s="14" t="n">
        <f aca="false">IF(C31-E31=0,0,D31/(C31-E31))</f>
        <v>0</v>
      </c>
      <c r="G31" s="5" t="str">
        <f aca="false">IF(C31-E31=0,"N/A",IF(F31&gt;=1,"Done",IF(D31&gt;0,"In progress","Not started")))</f>
        <v>Not started</v>
      </c>
    </row>
    <row r="32" customFormat="false" ht="15" hidden="false" customHeight="false" outlineLevel="0" collapsed="false">
      <c r="B32" s="9" t="s">
        <v>54</v>
      </c>
      <c r="C32" s="5" t="n">
        <f aca="false">COUNTIF(Checklist!$C$5:$C$200,B32)</f>
        <v>2</v>
      </c>
      <c r="D32" s="5" t="n">
        <f aca="false">COUNTIFS(Checklist!$C$5:$C$200,B32,Checklist!$I$5:$I$200,"Done")</f>
        <v>0</v>
      </c>
      <c r="E32" s="5" t="n">
        <f aca="false">COUNTIFS(Checklist!$C$5:$C$200,B32,Checklist!$I$5:$I$200,"N/A")</f>
        <v>0</v>
      </c>
      <c r="F32" s="14" t="n">
        <f aca="false">IF(C32-E32=0,0,D32/(C32-E32))</f>
        <v>0</v>
      </c>
      <c r="G32" s="5" t="str">
        <f aca="false">IF(C32-E32=0,"N/A",IF(F32&gt;=1,"Done",IF(D32&gt;0,"In progress","Not started")))</f>
        <v>Not started</v>
      </c>
    </row>
    <row r="33" customFormat="false" ht="15" hidden="false" customHeight="false" outlineLevel="0" collapsed="false">
      <c r="B33" s="9" t="s">
        <v>55</v>
      </c>
      <c r="C33" s="5" t="n">
        <f aca="false">COUNTIF(Checklist!$C$5:$C$200,B33)</f>
        <v>11</v>
      </c>
      <c r="D33" s="5" t="n">
        <f aca="false">COUNTIFS(Checklist!$C$5:$C$200,B33,Checklist!$I$5:$I$200,"Done")</f>
        <v>0</v>
      </c>
      <c r="E33" s="5" t="n">
        <f aca="false">COUNTIFS(Checklist!$C$5:$C$200,B33,Checklist!$I$5:$I$200,"N/A")</f>
        <v>0</v>
      </c>
      <c r="F33" s="14" t="n">
        <f aca="false">IF(C33-E33=0,0,D33/(C33-E33))</f>
        <v>0</v>
      </c>
      <c r="G33" s="5" t="str">
        <f aca="false">IF(C33-E33=0,"N/A",IF(F33&gt;=1,"Done",IF(D33&gt;0,"In progress","Not started")))</f>
        <v>Not started</v>
      </c>
    </row>
    <row r="34" customFormat="false" ht="15" hidden="false" customHeight="false" outlineLevel="0" collapsed="false">
      <c r="B34" s="9" t="s">
        <v>56</v>
      </c>
      <c r="C34" s="5" t="n">
        <f aca="false">COUNTIF(Checklist!$C$5:$C$200,B34)</f>
        <v>5</v>
      </c>
      <c r="D34" s="5" t="n">
        <f aca="false">COUNTIFS(Checklist!$C$5:$C$200,B34,Checklist!$I$5:$I$200,"Done")</f>
        <v>0</v>
      </c>
      <c r="E34" s="5" t="n">
        <f aca="false">COUNTIFS(Checklist!$C$5:$C$200,B34,Checklist!$I$5:$I$200,"N/A")</f>
        <v>0</v>
      </c>
      <c r="F34" s="14" t="n">
        <f aca="false">IF(C34-E34=0,0,D34/(C34-E34))</f>
        <v>0</v>
      </c>
      <c r="G34" s="5" t="str">
        <f aca="false">IF(C34-E34=0,"N/A",IF(F34&gt;=1,"Done",IF(D34&gt;0,"In progress","Not started")))</f>
        <v>Not started</v>
      </c>
    </row>
    <row r="35" customFormat="false" ht="15" hidden="false" customHeight="false" outlineLevel="0" collapsed="false">
      <c r="B35" s="9" t="s">
        <v>57</v>
      </c>
      <c r="C35" s="5" t="n">
        <f aca="false">COUNTIF(Checklist!$C$5:$C$200,B35)</f>
        <v>5</v>
      </c>
      <c r="D35" s="5" t="n">
        <f aca="false">COUNTIFS(Checklist!$C$5:$C$200,B35,Checklist!$I$5:$I$200,"Done")</f>
        <v>0</v>
      </c>
      <c r="E35" s="5" t="n">
        <f aca="false">COUNTIFS(Checklist!$C$5:$C$200,B35,Checklist!$I$5:$I$200,"N/A")</f>
        <v>0</v>
      </c>
      <c r="F35" s="14" t="n">
        <f aca="false">IF(C35-E35=0,0,D35/(C35-E35))</f>
        <v>0</v>
      </c>
      <c r="G35" s="5" t="str">
        <f aca="false">IF(C35-E35=0,"N/A",IF(F35&gt;=1,"Done",IF(D35&gt;0,"In progress","Not started")))</f>
        <v>Not started</v>
      </c>
    </row>
    <row r="36" customFormat="false" ht="15" hidden="false" customHeight="false" outlineLevel="0" collapsed="false">
      <c r="B36" s="9" t="s">
        <v>58</v>
      </c>
      <c r="C36" s="5" t="n">
        <f aca="false">COUNTIF(Checklist!$C$5:$C$200,B36)</f>
        <v>11</v>
      </c>
      <c r="D36" s="5" t="n">
        <f aca="false">COUNTIFS(Checklist!$C$5:$C$200,B36,Checklist!$I$5:$I$200,"Done")</f>
        <v>0</v>
      </c>
      <c r="E36" s="5" t="n">
        <f aca="false">COUNTIFS(Checklist!$C$5:$C$200,B36,Checklist!$I$5:$I$200,"N/A")</f>
        <v>0</v>
      </c>
      <c r="F36" s="14" t="n">
        <f aca="false">IF(C36-E36=0,0,D36/(C36-E36))</f>
        <v>0</v>
      </c>
      <c r="G36" s="5" t="str">
        <f aca="false">IF(C36-E36=0,"N/A",IF(F36&gt;=1,"Done",IF(D36&gt;0,"In progress","Not started")))</f>
        <v>Not started</v>
      </c>
    </row>
    <row r="37" customFormat="false" ht="15" hidden="false" customHeight="false" outlineLevel="0" collapsed="false">
      <c r="B37" s="9" t="s">
        <v>59</v>
      </c>
      <c r="C37" s="5" t="n">
        <f aca="false">COUNTIF(Checklist!$C$5:$C$200,B37)</f>
        <v>5</v>
      </c>
      <c r="D37" s="5" t="n">
        <f aca="false">COUNTIFS(Checklist!$C$5:$C$200,B37,Checklist!$I$5:$I$200,"Done")</f>
        <v>0</v>
      </c>
      <c r="E37" s="5" t="n">
        <f aca="false">COUNTIFS(Checklist!$C$5:$C$200,B37,Checklist!$I$5:$I$200,"N/A")</f>
        <v>0</v>
      </c>
      <c r="F37" s="14" t="n">
        <f aca="false">IF(C37-E37=0,0,D37/(C37-E37))</f>
        <v>0</v>
      </c>
      <c r="G37" s="5" t="str">
        <f aca="false">IF(C37-E37=0,"N/A",IF(F37&gt;=1,"Done",IF(D37&gt;0,"In progress","Not started")))</f>
        <v>Not started</v>
      </c>
    </row>
    <row r="38" customFormat="false" ht="15" hidden="false" customHeight="false" outlineLevel="0" collapsed="false">
      <c r="B38" s="9" t="s">
        <v>60</v>
      </c>
      <c r="C38" s="5" t="n">
        <f aca="false">COUNTIF(Checklist!$C$5:$C$200,B38)</f>
        <v>8</v>
      </c>
      <c r="D38" s="5" t="n">
        <f aca="false">COUNTIFS(Checklist!$C$5:$C$200,B38,Checklist!$I$5:$I$200,"Done")</f>
        <v>0</v>
      </c>
      <c r="E38" s="5" t="n">
        <f aca="false">COUNTIFS(Checklist!$C$5:$C$200,B38,Checklist!$I$5:$I$200,"N/A")</f>
        <v>0</v>
      </c>
      <c r="F38" s="14" t="n">
        <f aca="false">IF(C38-E38=0,0,D38/(C38-E38))</f>
        <v>0</v>
      </c>
      <c r="G38" s="5" t="str">
        <f aca="false">IF(C38-E38=0,"N/A",IF(F38&gt;=1,"Done",IF(D38&gt;0,"In progress","Not started")))</f>
        <v>Not started</v>
      </c>
    </row>
    <row r="40" customFormat="false" ht="15" hidden="false" customHeight="false" outlineLevel="0" collapsed="false">
      <c r="B40" s="6" t="s">
        <v>61</v>
      </c>
      <c r="C40" s="15" t="n">
        <f aca="false">COUNTIF(Checklist!$E$5:$E$200,"Basic")</f>
        <v>43</v>
      </c>
      <c r="D40" s="15" t="n">
        <f aca="false">COUNTIFS(Checklist!$E$5:$E$200,"Basic",Checklist!$I$5:$I$200,"Done")</f>
        <v>0</v>
      </c>
      <c r="E40" s="15" t="n">
        <f aca="false">COUNTIFS(Checklist!$E$5:$E$200,"Basic",Checklist!$I$5:$I$200,"N/A")</f>
        <v>0</v>
      </c>
      <c r="F40" s="16" t="n">
        <f aca="false">IF(C40-E40=0,0,D40/(C40-E40))</f>
        <v>0</v>
      </c>
      <c r="G40" s="17" t="str">
        <f aca="false">IF(C40-E40=0,"N/A",IF(F40&gt;=1,"Done",IF(D40&gt;0,"In progress","Not started")))</f>
        <v>Not started</v>
      </c>
    </row>
    <row r="41" customFormat="false" ht="15" hidden="false" customHeight="false" outlineLevel="0" collapsed="false">
      <c r="B41" s="6" t="s">
        <v>62</v>
      </c>
      <c r="C41" s="15" t="n">
        <f aca="false">COUNTIF(Checklist!$E$5:$E$200,"Advanced")</f>
        <v>16</v>
      </c>
      <c r="D41" s="15" t="n">
        <f aca="false">COUNTIFS(Checklist!$E$5:$E$200,"Advanced",Checklist!$I$5:$I$200,"Done")</f>
        <v>0</v>
      </c>
      <c r="E41" s="15" t="n">
        <f aca="false">COUNTIFS(Checklist!$E$5:$E$200,"Advanced",Checklist!$I$5:$I$200,"N/A")</f>
        <v>0</v>
      </c>
      <c r="F41" s="16" t="n">
        <f aca="false">IF(C41-E41=0,0,D41/(C41-E41))</f>
        <v>0</v>
      </c>
      <c r="G41" s="17" t="str">
        <f aca="false">IF(C41-E41=0,"N/A",IF(F41&gt;=1,"Done",IF(D41&gt;0,"In progress","Not started")))</f>
        <v>Not started</v>
      </c>
    </row>
    <row r="42" customFormat="false" ht="15" hidden="false" customHeight="false" outlineLevel="0" collapsed="false">
      <c r="B42" s="6" t="s">
        <v>63</v>
      </c>
      <c r="C42" s="15" t="n">
        <f aca="false">COUNTIF(Checklist!$E$5:$E$200,"*")</f>
        <v>59</v>
      </c>
      <c r="D42" s="15" t="n">
        <f aca="false">COUNTIFS(Checklist!$E$5:$E$200,"*",Checklist!$I$5:$I$200,"Done")</f>
        <v>0</v>
      </c>
      <c r="E42" s="15" t="n">
        <f aca="false">COUNTIFS(Checklist!$E$5:$E$200,"*",Checklist!$I$5:$I$200,"N/A")</f>
        <v>0</v>
      </c>
      <c r="F42" s="16" t="n">
        <f aca="false">IF(C42-E42=0,0,D42/(C42-E42))</f>
        <v>0</v>
      </c>
      <c r="G42" s="17" t="str">
        <f aca="false">IF(C42-E42=0,"N/A",IF(F42&gt;=1,"Done",IF(D42&gt;0,"In progress","Not started")))</f>
        <v>Not started</v>
      </c>
    </row>
    <row r="48" customFormat="false" ht="15" hidden="false" customHeight="false" outlineLevel="0" collapsed="false">
      <c r="B48" s="3" t="s">
        <v>64</v>
      </c>
    </row>
    <row r="49" customFormat="false" ht="30" hidden="false" customHeight="true" outlineLevel="0" collapsed="false">
      <c r="B49" s="8" t="s">
        <v>65</v>
      </c>
      <c r="C49" s="8" t="s">
        <v>66</v>
      </c>
      <c r="D49" s="8" t="s">
        <v>67</v>
      </c>
    </row>
    <row r="50" customFormat="false" ht="15" hidden="false" customHeight="false" outlineLevel="0" collapsed="false">
      <c r="B50" s="9" t="s">
        <v>68</v>
      </c>
      <c r="C50" s="5" t="str">
        <f aca="false">Benchmark!F29</f>
        <v/>
      </c>
      <c r="D50" s="18" t="s">
        <v>69</v>
      </c>
    </row>
    <row r="51" customFormat="false" ht="15" hidden="false" customHeight="false" outlineLevel="0" collapsed="false">
      <c r="B51" s="9" t="s">
        <v>70</v>
      </c>
      <c r="C51" s="5" t="str">
        <f aca="false">Benchmark!F30</f>
        <v/>
      </c>
      <c r="D51" s="18" t="s">
        <v>69</v>
      </c>
    </row>
    <row r="52" customFormat="false" ht="15" hidden="false" customHeight="false" outlineLevel="0" collapsed="false">
      <c r="B52" s="9" t="s">
        <v>71</v>
      </c>
      <c r="C52" s="5" t="str">
        <f aca="false">IF('Website Audit'!D11="","",'Website Audit'!D11&amp;" ("&amp;'Website Audit'!E11&amp;")")</f>
        <v/>
      </c>
      <c r="D52" s="18" t="s">
        <v>72</v>
      </c>
    </row>
    <row r="53" customFormat="false" ht="15" hidden="false" customHeight="false" outlineLevel="0" collapsed="false">
      <c r="B53" s="9" t="s">
        <v>73</v>
      </c>
      <c r="C53" s="5" t="n">
        <f aca="false">Services!C4</f>
        <v>1</v>
      </c>
      <c r="D53" s="18" t="s">
        <v>74</v>
      </c>
    </row>
    <row r="54" customFormat="false" ht="15" hidden="false" customHeight="false" outlineLevel="0" collapsed="false">
      <c r="B54" s="9" t="s">
        <v>75</v>
      </c>
      <c r="C54" s="5" t="str">
        <f aca="false">GBP!C26</f>
        <v/>
      </c>
      <c r="D54" s="18" t="s">
        <v>76</v>
      </c>
    </row>
    <row r="55" customFormat="false" ht="15" hidden="false" customHeight="false" outlineLevel="0" collapsed="false">
      <c r="B55" s="9" t="s">
        <v>77</v>
      </c>
      <c r="C55" s="5" t="n">
        <f aca="false">Benchmark!C38</f>
        <v>0</v>
      </c>
      <c r="D55" s="18" t="s">
        <v>78</v>
      </c>
    </row>
  </sheetData>
  <mergeCells count="4">
    <mergeCell ref="C5:D5"/>
    <mergeCell ref="C6:D6"/>
    <mergeCell ref="C7:D7"/>
    <mergeCell ref="C8:D8"/>
  </mergeCells>
  <conditionalFormatting sqref="G31:G45">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"Waiting on client"</formula>
    </cfRule>
    <cfRule type="cellIs" priority="5" operator="equal" aboveAverage="0" equalAverage="0" bottom="0" percent="0" rank="0" text="" dxfId="3">
      <formula>"N/A"</formula>
    </cfRule>
    <cfRule type="cellIs" priority="6" operator="equal" aboveAverage="0" equalAverage="0" bottom="0" percent="0" rank="0" text="" dxfId="0">
      <formula>"Live"</formula>
    </cfRule>
    <cfRule type="cellIs" priority="7" operator="equal" aboveAverage="0" equalAverage="0" bottom="0" percent="0" rank="0" text="" dxfId="0">
      <formula>"Pass"</formula>
    </cfRule>
    <cfRule type="cellIs" priority="8" operator="equal" aboveAverage="0" equalAverage="0" bottom="0" percent="0" rank="0" text="" dxfId="0">
      <formula>"OK"</formula>
    </cfRule>
  </conditionalFormatting>
  <conditionalFormatting sqref="F31:F45">
    <cfRule type="dataBar" priority="9">
      <dataBar showValue="1" minLength="10" maxLength="90">
        <cfvo type="num" val="0"/>
        <cfvo type="num" val="1"/>
        <color rgb="FF2D3BD1"/>
      </dataBar>
      <extLst>
        <ext xmlns:x14="http://schemas.microsoft.com/office/spreadsheetml/2009/9/main" uri="{B025F937-C7B1-47D3-B67F-A62EFF666E3E}">
          <x14:id>{76B0555F-DD18-46FD-8F55-A92C6DCA419A}</x14:id>
        </ext>
      </extLst>
    </cfRule>
  </conditionalFormatting>
  <conditionalFormatting sqref="C50:C55">
    <cfRule type="expression" priority="10" aboveAverage="0" equalAverage="0" bottom="0" percent="0" rank="0" text="" dxfId="4">
      <formula>OR(LEFT(C50,4)="Fail",LEFT(C50,6)="Behind",LEFT(C50,4)="Need",LEFT(C50,3)="Too",LEFT(C50,3)="Add",LEFT(C50,4)="Trim")</formula>
    </cfRule>
  </conditionalFormatting>
  <dataValidations count="2">
    <dataValidation allowBlank="true" error="Pick an option from the list." errorStyle="stop" errorTitle="Invalid value" operator="between" showDropDown="false" showErrorMessage="false" showInputMessage="false" sqref="C22:C23" type="list">
      <formula1>"Yes,No"</formula1>
      <formula2>0</formula2>
    </dataValidation>
    <dataValidation allowBlank="true" error="Pick an option from the list." errorStyle="stop" errorTitle="Invalid value" operator="between" showDropDown="false" showErrorMessage="false" showInputMessage="false" sqref="C24" type="list">
      <formula1>"Basic,Advanced"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6B0555F-DD18-46FD-8F55-A92C6DCA419A}">
            <x14:dataBar minLength="10" maxLength="90" axisPosition="none" gradient="true">
              <x14:cfvo type="num">
                <xm:f>0</xm:f>
              </x14:cfvo>
              <x14:cfvo type="num">
                <xm:f>1</xm:f>
              </x14:cfvo>
              <x14:negativeFillColor rgb="FF2D3BD1"/>
              <x14:axisColor rgb="FF000000"/>
            </x14:dataBar>
          </x14:cfRule>
          <xm:sqref>F31:F45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24"/>
    <col collapsed="false" customWidth="true" hidden="false" outlineLevel="0" max="4" min="4" style="0" width="20"/>
    <col collapsed="false" customWidth="true" hidden="false" outlineLevel="0" max="5" min="5" style="0" width="10"/>
    <col collapsed="false" customWidth="true" hidden="false" outlineLevel="0" max="6" min="6" style="0" width="42"/>
    <col collapsed="false" customWidth="true" hidden="false" outlineLevel="0" max="7" min="7" style="0" width="60"/>
    <col collapsed="false" customWidth="true" hidden="false" outlineLevel="0" max="8" min="8" style="0" width="30"/>
    <col collapsed="false" customWidth="true" hidden="false" outlineLevel="0" max="9" min="9" style="0" width="16"/>
    <col collapsed="false" customWidth="true" hidden="false" outlineLevel="0" max="11" min="10" style="0" width="12"/>
    <col collapsed="false" customWidth="true" hidden="false" outlineLevel="0" max="12" min="12" style="0" width="30"/>
  </cols>
  <sheetData>
    <row r="1" customFormat="false" ht="27.75" hidden="false" customHeight="true" outlineLevel="0" collapsed="false">
      <c r="A1" s="1" t="s">
        <v>79</v>
      </c>
    </row>
    <row r="2" customFormat="false" ht="15" hidden="false" customHeight="false" outlineLevel="0" collapsed="false">
      <c r="A2" s="2" t="s">
        <v>80</v>
      </c>
    </row>
    <row r="4" customFormat="false" ht="30" hidden="false" customHeight="true" outlineLevel="0" collapsed="false">
      <c r="A4" s="8" t="s">
        <v>81</v>
      </c>
      <c r="B4" s="8" t="s">
        <v>82</v>
      </c>
      <c r="C4" s="8" t="s">
        <v>47</v>
      </c>
      <c r="D4" s="8" t="s">
        <v>83</v>
      </c>
      <c r="E4" s="8" t="s">
        <v>84</v>
      </c>
      <c r="F4" s="8" t="s">
        <v>85</v>
      </c>
      <c r="G4" s="8" t="s">
        <v>86</v>
      </c>
      <c r="H4" s="8" t="s">
        <v>87</v>
      </c>
      <c r="I4" s="8" t="s">
        <v>52</v>
      </c>
      <c r="J4" s="8" t="s">
        <v>88</v>
      </c>
      <c r="K4" s="8" t="s">
        <v>89</v>
      </c>
      <c r="L4" s="8" t="s">
        <v>90</v>
      </c>
    </row>
    <row r="5" customFormat="false" ht="57.75" hidden="false" customHeight="true" outlineLevel="0" collapsed="false">
      <c r="A5" s="19" t="n">
        <v>1</v>
      </c>
      <c r="B5" s="19" t="n">
        <v>1</v>
      </c>
      <c r="C5" s="19" t="s">
        <v>53</v>
      </c>
      <c r="D5" s="19" t="s">
        <v>91</v>
      </c>
      <c r="E5" s="19" t="s">
        <v>40</v>
      </c>
      <c r="F5" s="20" t="s">
        <v>92</v>
      </c>
      <c r="G5" s="21" t="s">
        <v>93</v>
      </c>
      <c r="H5" s="21"/>
      <c r="I5" s="10" t="s">
        <v>94</v>
      </c>
      <c r="J5" s="22"/>
      <c r="K5" s="23"/>
      <c r="L5" s="23"/>
    </row>
    <row r="6" customFormat="false" ht="31.5" hidden="false" customHeight="true" outlineLevel="0" collapsed="false">
      <c r="A6" s="19" t="n">
        <v>2</v>
      </c>
      <c r="B6" s="19" t="n">
        <v>1</v>
      </c>
      <c r="C6" s="19" t="s">
        <v>53</v>
      </c>
      <c r="D6" s="19" t="s">
        <v>91</v>
      </c>
      <c r="E6" s="19" t="s">
        <v>40</v>
      </c>
      <c r="F6" s="20" t="s">
        <v>95</v>
      </c>
      <c r="G6" s="21" t="s">
        <v>96</v>
      </c>
      <c r="H6" s="21" t="s">
        <v>97</v>
      </c>
      <c r="I6" s="10" t="s">
        <v>94</v>
      </c>
      <c r="J6" s="22"/>
      <c r="K6" s="23"/>
      <c r="L6" s="23"/>
    </row>
    <row r="7" customFormat="false" ht="27.75" hidden="false" customHeight="true" outlineLevel="0" collapsed="false">
      <c r="A7" s="19" t="n">
        <v>3</v>
      </c>
      <c r="B7" s="19" t="n">
        <v>1</v>
      </c>
      <c r="C7" s="19" t="s">
        <v>53</v>
      </c>
      <c r="D7" s="19" t="s">
        <v>91</v>
      </c>
      <c r="E7" s="19" t="s">
        <v>40</v>
      </c>
      <c r="F7" s="20" t="s">
        <v>98</v>
      </c>
      <c r="G7" s="21" t="s">
        <v>99</v>
      </c>
      <c r="H7" s="21" t="s">
        <v>100</v>
      </c>
      <c r="I7" s="10" t="s">
        <v>94</v>
      </c>
      <c r="J7" s="22"/>
      <c r="K7" s="23"/>
      <c r="L7" s="23"/>
    </row>
    <row r="8" customFormat="false" ht="45" hidden="false" customHeight="true" outlineLevel="0" collapsed="false">
      <c r="A8" s="19" t="n">
        <v>4</v>
      </c>
      <c r="B8" s="19" t="n">
        <v>1</v>
      </c>
      <c r="C8" s="19" t="s">
        <v>53</v>
      </c>
      <c r="D8" s="19" t="s">
        <v>101</v>
      </c>
      <c r="E8" s="19" t="s">
        <v>40</v>
      </c>
      <c r="F8" s="20" t="s">
        <v>102</v>
      </c>
      <c r="G8" s="21" t="s">
        <v>103</v>
      </c>
      <c r="H8" s="21" t="s">
        <v>100</v>
      </c>
      <c r="I8" s="10" t="s">
        <v>94</v>
      </c>
      <c r="J8" s="22"/>
      <c r="K8" s="23"/>
      <c r="L8" s="23"/>
    </row>
    <row r="9" customFormat="false" ht="45" hidden="false" customHeight="true" outlineLevel="0" collapsed="false">
      <c r="A9" s="19" t="n">
        <v>5</v>
      </c>
      <c r="B9" s="19" t="n">
        <v>1</v>
      </c>
      <c r="C9" s="19" t="s">
        <v>53</v>
      </c>
      <c r="D9" s="19" t="s">
        <v>101</v>
      </c>
      <c r="E9" s="19" t="s">
        <v>40</v>
      </c>
      <c r="F9" s="20" t="s">
        <v>104</v>
      </c>
      <c r="G9" s="21" t="s">
        <v>105</v>
      </c>
      <c r="H9" s="21" t="s">
        <v>69</v>
      </c>
      <c r="I9" s="10" t="s">
        <v>94</v>
      </c>
      <c r="J9" s="22"/>
      <c r="K9" s="23"/>
      <c r="L9" s="23"/>
    </row>
    <row r="10" customFormat="false" ht="31.5" hidden="false" customHeight="true" outlineLevel="0" collapsed="false">
      <c r="A10" s="19" t="n">
        <v>6</v>
      </c>
      <c r="B10" s="19" t="n">
        <v>1</v>
      </c>
      <c r="C10" s="19" t="s">
        <v>53</v>
      </c>
      <c r="D10" s="19" t="s">
        <v>101</v>
      </c>
      <c r="E10" s="19" t="s">
        <v>40</v>
      </c>
      <c r="F10" s="20" t="s">
        <v>106</v>
      </c>
      <c r="G10" s="21" t="s">
        <v>107</v>
      </c>
      <c r="H10" s="21" t="s">
        <v>108</v>
      </c>
      <c r="I10" s="10" t="s">
        <v>94</v>
      </c>
      <c r="J10" s="22"/>
      <c r="K10" s="23"/>
      <c r="L10" s="23"/>
    </row>
    <row r="11" customFormat="false" ht="31.5" hidden="false" customHeight="true" outlineLevel="0" collapsed="false">
      <c r="A11" s="19" t="n">
        <v>7</v>
      </c>
      <c r="B11" s="19" t="n">
        <v>1</v>
      </c>
      <c r="C11" s="19" t="s">
        <v>53</v>
      </c>
      <c r="D11" s="19" t="s">
        <v>109</v>
      </c>
      <c r="E11" s="19" t="s">
        <v>40</v>
      </c>
      <c r="F11" s="20" t="s">
        <v>110</v>
      </c>
      <c r="G11" s="21" t="s">
        <v>111</v>
      </c>
      <c r="H11" s="21" t="s">
        <v>72</v>
      </c>
      <c r="I11" s="10" t="s">
        <v>94</v>
      </c>
      <c r="J11" s="22"/>
      <c r="K11" s="23"/>
      <c r="L11" s="23"/>
    </row>
    <row r="12" customFormat="false" ht="31.5" hidden="false" customHeight="true" outlineLevel="0" collapsed="false">
      <c r="A12" s="19" t="n">
        <v>8</v>
      </c>
      <c r="B12" s="19" t="n">
        <v>1</v>
      </c>
      <c r="C12" s="19" t="s">
        <v>53</v>
      </c>
      <c r="D12" s="19" t="s">
        <v>109</v>
      </c>
      <c r="E12" s="19" t="s">
        <v>40</v>
      </c>
      <c r="F12" s="20" t="s">
        <v>112</v>
      </c>
      <c r="G12" s="21" t="s">
        <v>113</v>
      </c>
      <c r="H12" s="21" t="s">
        <v>72</v>
      </c>
      <c r="I12" s="10" t="s">
        <v>94</v>
      </c>
      <c r="J12" s="22"/>
      <c r="K12" s="23"/>
      <c r="L12" s="23"/>
    </row>
    <row r="13" customFormat="false" ht="31.5" hidden="false" customHeight="true" outlineLevel="0" collapsed="false">
      <c r="A13" s="19" t="n">
        <v>9</v>
      </c>
      <c r="B13" s="19" t="n">
        <v>1</v>
      </c>
      <c r="C13" s="19" t="s">
        <v>53</v>
      </c>
      <c r="D13" s="19" t="s">
        <v>109</v>
      </c>
      <c r="E13" s="19" t="s">
        <v>40</v>
      </c>
      <c r="F13" s="20" t="s">
        <v>114</v>
      </c>
      <c r="G13" s="21" t="s">
        <v>115</v>
      </c>
      <c r="H13" s="21" t="s">
        <v>116</v>
      </c>
      <c r="I13" s="10" t="s">
        <v>94</v>
      </c>
      <c r="J13" s="22"/>
      <c r="K13" s="23"/>
      <c r="L13" s="23"/>
    </row>
    <row r="14" customFormat="false" ht="31.5" hidden="false" customHeight="true" outlineLevel="0" collapsed="false">
      <c r="A14" s="19" t="n">
        <v>10</v>
      </c>
      <c r="B14" s="19" t="n">
        <v>1</v>
      </c>
      <c r="C14" s="19" t="s">
        <v>53</v>
      </c>
      <c r="D14" s="19" t="s">
        <v>109</v>
      </c>
      <c r="E14" s="19" t="s">
        <v>40</v>
      </c>
      <c r="F14" s="20" t="s">
        <v>117</v>
      </c>
      <c r="G14" s="21" t="s">
        <v>118</v>
      </c>
      <c r="H14" s="21" t="s">
        <v>119</v>
      </c>
      <c r="I14" s="10" t="s">
        <v>94</v>
      </c>
      <c r="J14" s="22"/>
      <c r="K14" s="23"/>
      <c r="L14" s="23"/>
    </row>
    <row r="15" customFormat="false" ht="27.75" hidden="false" customHeight="true" outlineLevel="0" collapsed="false">
      <c r="A15" s="19" t="n">
        <v>11</v>
      </c>
      <c r="B15" s="19" t="n">
        <v>1</v>
      </c>
      <c r="C15" s="19" t="s">
        <v>53</v>
      </c>
      <c r="D15" s="19" t="s">
        <v>109</v>
      </c>
      <c r="E15" s="19" t="s">
        <v>40</v>
      </c>
      <c r="F15" s="20" t="s">
        <v>120</v>
      </c>
      <c r="G15" s="21" t="s">
        <v>121</v>
      </c>
      <c r="H15" s="21"/>
      <c r="I15" s="10" t="s">
        <v>94</v>
      </c>
      <c r="J15" s="22"/>
      <c r="K15" s="23"/>
      <c r="L15" s="23"/>
    </row>
    <row r="16" customFormat="false" ht="27.75" hidden="false" customHeight="true" outlineLevel="0" collapsed="false">
      <c r="A16" s="19" t="n">
        <v>12</v>
      </c>
      <c r="B16" s="19" t="n">
        <v>1</v>
      </c>
      <c r="C16" s="19" t="s">
        <v>60</v>
      </c>
      <c r="D16" s="19" t="s">
        <v>122</v>
      </c>
      <c r="E16" s="19" t="s">
        <v>40</v>
      </c>
      <c r="F16" s="20" t="s">
        <v>123</v>
      </c>
      <c r="G16" s="21" t="s">
        <v>124</v>
      </c>
      <c r="H16" s="21" t="s">
        <v>125</v>
      </c>
      <c r="I16" s="10" t="s">
        <v>94</v>
      </c>
      <c r="J16" s="22"/>
      <c r="K16" s="23"/>
      <c r="L16" s="23"/>
    </row>
    <row r="17" customFormat="false" ht="31.5" hidden="false" customHeight="true" outlineLevel="0" collapsed="false">
      <c r="A17" s="19" t="n">
        <v>13</v>
      </c>
      <c r="B17" s="19" t="n">
        <v>1</v>
      </c>
      <c r="C17" s="19" t="s">
        <v>60</v>
      </c>
      <c r="D17" s="19" t="s">
        <v>122</v>
      </c>
      <c r="E17" s="19" t="s">
        <v>40</v>
      </c>
      <c r="F17" s="20" t="s">
        <v>126</v>
      </c>
      <c r="G17" s="21" t="s">
        <v>127</v>
      </c>
      <c r="H17" s="21" t="s">
        <v>128</v>
      </c>
      <c r="I17" s="10" t="s">
        <v>94</v>
      </c>
      <c r="J17" s="22"/>
      <c r="K17" s="23"/>
      <c r="L17" s="23"/>
    </row>
    <row r="18" customFormat="false" ht="27.75" hidden="false" customHeight="true" outlineLevel="0" collapsed="false">
      <c r="A18" s="19" t="n">
        <v>14</v>
      </c>
      <c r="B18" s="19" t="n">
        <v>1</v>
      </c>
      <c r="C18" s="19" t="s">
        <v>60</v>
      </c>
      <c r="D18" s="19" t="s">
        <v>129</v>
      </c>
      <c r="E18" s="19" t="s">
        <v>40</v>
      </c>
      <c r="F18" s="20" t="s">
        <v>130</v>
      </c>
      <c r="G18" s="21" t="s">
        <v>131</v>
      </c>
      <c r="H18" s="21" t="s">
        <v>125</v>
      </c>
      <c r="I18" s="10" t="s">
        <v>94</v>
      </c>
      <c r="J18" s="22"/>
      <c r="K18" s="23"/>
      <c r="L18" s="23"/>
    </row>
    <row r="19" customFormat="false" ht="27.75" hidden="false" customHeight="true" outlineLevel="0" collapsed="false">
      <c r="A19" s="19" t="n">
        <v>15</v>
      </c>
      <c r="B19" s="19" t="n">
        <v>1</v>
      </c>
      <c r="C19" s="19" t="s">
        <v>60</v>
      </c>
      <c r="D19" s="19" t="s">
        <v>129</v>
      </c>
      <c r="E19" s="19" t="s">
        <v>40</v>
      </c>
      <c r="F19" s="20" t="s">
        <v>132</v>
      </c>
      <c r="G19" s="21" t="s">
        <v>133</v>
      </c>
      <c r="H19" s="21" t="s">
        <v>125</v>
      </c>
      <c r="I19" s="10" t="s">
        <v>94</v>
      </c>
      <c r="J19" s="22"/>
      <c r="K19" s="23"/>
      <c r="L19" s="23"/>
    </row>
    <row r="20" customFormat="false" ht="27.75" hidden="false" customHeight="true" outlineLevel="0" collapsed="false">
      <c r="A20" s="19" t="n">
        <v>16</v>
      </c>
      <c r="B20" s="19" t="n">
        <v>1</v>
      </c>
      <c r="C20" s="19" t="s">
        <v>60</v>
      </c>
      <c r="D20" s="19" t="s">
        <v>129</v>
      </c>
      <c r="E20" s="19" t="s">
        <v>40</v>
      </c>
      <c r="F20" s="20" t="s">
        <v>134</v>
      </c>
      <c r="G20" s="21" t="s">
        <v>135</v>
      </c>
      <c r="H20" s="21" t="s">
        <v>136</v>
      </c>
      <c r="I20" s="10" t="s">
        <v>94</v>
      </c>
      <c r="J20" s="22"/>
      <c r="K20" s="23"/>
      <c r="L20" s="23"/>
    </row>
    <row r="21" customFormat="false" ht="45" hidden="false" customHeight="true" outlineLevel="0" collapsed="false">
      <c r="A21" s="19" t="n">
        <v>17</v>
      </c>
      <c r="B21" s="19" t="n">
        <v>1</v>
      </c>
      <c r="C21" s="19" t="s">
        <v>53</v>
      </c>
      <c r="D21" s="19" t="s">
        <v>137</v>
      </c>
      <c r="E21" s="19" t="s">
        <v>40</v>
      </c>
      <c r="F21" s="20" t="s">
        <v>138</v>
      </c>
      <c r="G21" s="21" t="s">
        <v>139</v>
      </c>
      <c r="H21" s="21" t="s">
        <v>108</v>
      </c>
      <c r="I21" s="10" t="s">
        <v>94</v>
      </c>
      <c r="J21" s="22"/>
      <c r="K21" s="23"/>
      <c r="L21" s="23"/>
    </row>
    <row r="22" customFormat="false" ht="45" hidden="false" customHeight="true" outlineLevel="0" collapsed="false">
      <c r="A22" s="19" t="n">
        <v>18</v>
      </c>
      <c r="B22" s="19" t="n">
        <v>2</v>
      </c>
      <c r="C22" s="19" t="s">
        <v>54</v>
      </c>
      <c r="D22" s="19" t="s">
        <v>140</v>
      </c>
      <c r="E22" s="19" t="s">
        <v>40</v>
      </c>
      <c r="F22" s="20" t="s">
        <v>141</v>
      </c>
      <c r="G22" s="21" t="s">
        <v>142</v>
      </c>
      <c r="H22" s="21" t="s">
        <v>143</v>
      </c>
      <c r="I22" s="10" t="s">
        <v>94</v>
      </c>
      <c r="J22" s="22"/>
      <c r="K22" s="23"/>
      <c r="L22" s="23"/>
    </row>
    <row r="23" customFormat="false" ht="31.5" hidden="false" customHeight="true" outlineLevel="0" collapsed="false">
      <c r="A23" s="19" t="n">
        <v>19</v>
      </c>
      <c r="B23" s="19" t="n">
        <v>2</v>
      </c>
      <c r="C23" s="19" t="s">
        <v>54</v>
      </c>
      <c r="D23" s="19" t="s">
        <v>140</v>
      </c>
      <c r="E23" s="19" t="s">
        <v>40</v>
      </c>
      <c r="F23" s="20" t="s">
        <v>144</v>
      </c>
      <c r="G23" s="21" t="s">
        <v>145</v>
      </c>
      <c r="H23" s="21" t="s">
        <v>146</v>
      </c>
      <c r="I23" s="10" t="s">
        <v>94</v>
      </c>
      <c r="J23" s="22"/>
      <c r="K23" s="23"/>
      <c r="L23" s="23"/>
    </row>
    <row r="24" customFormat="false" ht="31.5" hidden="false" customHeight="true" outlineLevel="0" collapsed="false">
      <c r="A24" s="19" t="n">
        <v>20</v>
      </c>
      <c r="B24" s="19" t="n">
        <v>2</v>
      </c>
      <c r="C24" s="19" t="s">
        <v>55</v>
      </c>
      <c r="D24" s="19" t="s">
        <v>147</v>
      </c>
      <c r="E24" s="19" t="s">
        <v>40</v>
      </c>
      <c r="F24" s="20" t="s">
        <v>148</v>
      </c>
      <c r="G24" s="21" t="s">
        <v>149</v>
      </c>
      <c r="H24" s="21" t="s">
        <v>150</v>
      </c>
      <c r="I24" s="10" t="s">
        <v>94</v>
      </c>
      <c r="J24" s="22"/>
      <c r="K24" s="23"/>
      <c r="L24" s="23"/>
    </row>
    <row r="25" customFormat="false" ht="45" hidden="false" customHeight="true" outlineLevel="0" collapsed="false">
      <c r="A25" s="19" t="n">
        <v>21</v>
      </c>
      <c r="B25" s="19" t="n">
        <v>2</v>
      </c>
      <c r="C25" s="19" t="s">
        <v>55</v>
      </c>
      <c r="D25" s="19" t="s">
        <v>147</v>
      </c>
      <c r="E25" s="19" t="s">
        <v>40</v>
      </c>
      <c r="F25" s="20" t="s">
        <v>151</v>
      </c>
      <c r="G25" s="21" t="s">
        <v>152</v>
      </c>
      <c r="H25" s="21" t="s">
        <v>76</v>
      </c>
      <c r="I25" s="10" t="s">
        <v>94</v>
      </c>
      <c r="J25" s="22"/>
      <c r="K25" s="23"/>
      <c r="L25" s="23"/>
    </row>
    <row r="26" customFormat="false" ht="31.5" hidden="false" customHeight="true" outlineLevel="0" collapsed="false">
      <c r="A26" s="19" t="n">
        <v>22</v>
      </c>
      <c r="B26" s="19" t="n">
        <v>2</v>
      </c>
      <c r="C26" s="19" t="s">
        <v>55</v>
      </c>
      <c r="D26" s="19" t="s">
        <v>147</v>
      </c>
      <c r="E26" s="19" t="s">
        <v>40</v>
      </c>
      <c r="F26" s="20" t="s">
        <v>153</v>
      </c>
      <c r="G26" s="21" t="s">
        <v>154</v>
      </c>
      <c r="H26" s="21" t="s">
        <v>76</v>
      </c>
      <c r="I26" s="10" t="s">
        <v>94</v>
      </c>
      <c r="J26" s="22"/>
      <c r="K26" s="23"/>
      <c r="L26" s="23"/>
    </row>
    <row r="27" customFormat="false" ht="45" hidden="false" customHeight="true" outlineLevel="0" collapsed="false">
      <c r="A27" s="19" t="n">
        <v>23</v>
      </c>
      <c r="B27" s="19" t="n">
        <v>2</v>
      </c>
      <c r="C27" s="19" t="s">
        <v>55</v>
      </c>
      <c r="D27" s="19" t="s">
        <v>147</v>
      </c>
      <c r="E27" s="19" t="s">
        <v>40</v>
      </c>
      <c r="F27" s="20" t="s">
        <v>155</v>
      </c>
      <c r="G27" s="21" t="s">
        <v>156</v>
      </c>
      <c r="H27" s="21" t="s">
        <v>157</v>
      </c>
      <c r="I27" s="10" t="s">
        <v>94</v>
      </c>
      <c r="J27" s="22"/>
      <c r="K27" s="23"/>
      <c r="L27" s="23"/>
    </row>
    <row r="28" customFormat="false" ht="31.5" hidden="false" customHeight="true" outlineLevel="0" collapsed="false">
      <c r="A28" s="19" t="n">
        <v>24</v>
      </c>
      <c r="B28" s="19" t="n">
        <v>2</v>
      </c>
      <c r="C28" s="19" t="s">
        <v>55</v>
      </c>
      <c r="D28" s="19" t="s">
        <v>147</v>
      </c>
      <c r="E28" s="19" t="s">
        <v>40</v>
      </c>
      <c r="F28" s="20" t="s">
        <v>158</v>
      </c>
      <c r="G28" s="21" t="s">
        <v>159</v>
      </c>
      <c r="H28" s="21" t="s">
        <v>160</v>
      </c>
      <c r="I28" s="10" t="s">
        <v>94</v>
      </c>
      <c r="J28" s="22"/>
      <c r="K28" s="23"/>
      <c r="L28" s="23"/>
    </row>
    <row r="29" customFormat="false" ht="31.5" hidden="false" customHeight="true" outlineLevel="0" collapsed="false">
      <c r="A29" s="19" t="n">
        <v>25</v>
      </c>
      <c r="B29" s="19" t="n">
        <v>2</v>
      </c>
      <c r="C29" s="19" t="s">
        <v>55</v>
      </c>
      <c r="D29" s="19" t="s">
        <v>147</v>
      </c>
      <c r="E29" s="19" t="s">
        <v>40</v>
      </c>
      <c r="F29" s="20" t="s">
        <v>161</v>
      </c>
      <c r="G29" s="21" t="s">
        <v>162</v>
      </c>
      <c r="H29" s="21" t="s">
        <v>136</v>
      </c>
      <c r="I29" s="10" t="s">
        <v>94</v>
      </c>
      <c r="J29" s="22"/>
      <c r="K29" s="23"/>
      <c r="L29" s="23"/>
    </row>
    <row r="30" customFormat="false" ht="31.5" hidden="false" customHeight="true" outlineLevel="0" collapsed="false">
      <c r="A30" s="19" t="n">
        <v>26</v>
      </c>
      <c r="B30" s="19" t="n">
        <v>3</v>
      </c>
      <c r="C30" s="19" t="s">
        <v>55</v>
      </c>
      <c r="D30" s="19" t="s">
        <v>147</v>
      </c>
      <c r="E30" s="19" t="s">
        <v>40</v>
      </c>
      <c r="F30" s="20" t="s">
        <v>163</v>
      </c>
      <c r="G30" s="21" t="s">
        <v>164</v>
      </c>
      <c r="H30" s="21" t="s">
        <v>74</v>
      </c>
      <c r="I30" s="10" t="s">
        <v>94</v>
      </c>
      <c r="J30" s="22"/>
      <c r="K30" s="23"/>
      <c r="L30" s="23"/>
    </row>
    <row r="31" customFormat="false" ht="31.5" hidden="false" customHeight="true" outlineLevel="0" collapsed="false">
      <c r="A31" s="19" t="n">
        <v>27</v>
      </c>
      <c r="B31" s="19" t="n">
        <v>3</v>
      </c>
      <c r="C31" s="19" t="s">
        <v>55</v>
      </c>
      <c r="D31" s="19" t="s">
        <v>147</v>
      </c>
      <c r="E31" s="19" t="s">
        <v>40</v>
      </c>
      <c r="F31" s="20" t="s">
        <v>165</v>
      </c>
      <c r="G31" s="21" t="s">
        <v>166</v>
      </c>
      <c r="H31" s="21" t="s">
        <v>74</v>
      </c>
      <c r="I31" s="10" t="s">
        <v>94</v>
      </c>
      <c r="J31" s="22"/>
      <c r="K31" s="23"/>
      <c r="L31" s="23"/>
    </row>
    <row r="32" customFormat="false" ht="27.75" hidden="false" customHeight="true" outlineLevel="0" collapsed="false">
      <c r="A32" s="19" t="n">
        <v>28</v>
      </c>
      <c r="B32" s="19" t="n">
        <v>3</v>
      </c>
      <c r="C32" s="19" t="s">
        <v>55</v>
      </c>
      <c r="D32" s="19" t="s">
        <v>147</v>
      </c>
      <c r="E32" s="19" t="s">
        <v>40</v>
      </c>
      <c r="F32" s="20" t="s">
        <v>167</v>
      </c>
      <c r="G32" s="21" t="s">
        <v>168</v>
      </c>
      <c r="H32" s="21" t="s">
        <v>169</v>
      </c>
      <c r="I32" s="10" t="s">
        <v>94</v>
      </c>
      <c r="J32" s="22"/>
      <c r="K32" s="23"/>
      <c r="L32" s="23"/>
    </row>
    <row r="33" customFormat="false" ht="31.5" hidden="false" customHeight="true" outlineLevel="0" collapsed="false">
      <c r="A33" s="19" t="n">
        <v>29</v>
      </c>
      <c r="B33" s="19" t="n">
        <v>3</v>
      </c>
      <c r="C33" s="19" t="s">
        <v>55</v>
      </c>
      <c r="D33" s="19" t="s">
        <v>147</v>
      </c>
      <c r="E33" s="19" t="s">
        <v>40</v>
      </c>
      <c r="F33" s="20" t="s">
        <v>170</v>
      </c>
      <c r="G33" s="21" t="s">
        <v>171</v>
      </c>
      <c r="H33" s="21" t="s">
        <v>160</v>
      </c>
      <c r="I33" s="10" t="s">
        <v>94</v>
      </c>
      <c r="J33" s="22"/>
      <c r="K33" s="23"/>
      <c r="L33" s="23"/>
    </row>
    <row r="34" customFormat="false" ht="31.5" hidden="false" customHeight="true" outlineLevel="0" collapsed="false">
      <c r="A34" s="19" t="n">
        <v>30</v>
      </c>
      <c r="B34" s="19" t="n">
        <v>3</v>
      </c>
      <c r="C34" s="19" t="s">
        <v>55</v>
      </c>
      <c r="D34" s="19" t="s">
        <v>147</v>
      </c>
      <c r="E34" s="19" t="s">
        <v>40</v>
      </c>
      <c r="F34" s="20" t="s">
        <v>172</v>
      </c>
      <c r="G34" s="21" t="s">
        <v>173</v>
      </c>
      <c r="H34" s="21" t="s">
        <v>150</v>
      </c>
      <c r="I34" s="10" t="s">
        <v>94</v>
      </c>
      <c r="J34" s="22"/>
      <c r="K34" s="23"/>
      <c r="L34" s="23"/>
    </row>
    <row r="35" customFormat="false" ht="31.5" hidden="false" customHeight="true" outlineLevel="0" collapsed="false">
      <c r="A35" s="19" t="n">
        <v>31</v>
      </c>
      <c r="B35" s="19" t="n">
        <v>5</v>
      </c>
      <c r="C35" s="19" t="s">
        <v>56</v>
      </c>
      <c r="D35" s="19" t="s">
        <v>174</v>
      </c>
      <c r="E35" s="19" t="s">
        <v>40</v>
      </c>
      <c r="F35" s="20" t="s">
        <v>175</v>
      </c>
      <c r="G35" s="21" t="s">
        <v>176</v>
      </c>
      <c r="H35" s="21" t="s">
        <v>72</v>
      </c>
      <c r="I35" s="10" t="s">
        <v>94</v>
      </c>
      <c r="J35" s="22"/>
      <c r="K35" s="23"/>
      <c r="L35" s="23"/>
    </row>
    <row r="36" customFormat="false" ht="27.75" hidden="false" customHeight="true" outlineLevel="0" collapsed="false">
      <c r="A36" s="19" t="n">
        <v>32</v>
      </c>
      <c r="B36" s="19" t="n">
        <v>5</v>
      </c>
      <c r="C36" s="19" t="s">
        <v>56</v>
      </c>
      <c r="D36" s="19" t="s">
        <v>174</v>
      </c>
      <c r="E36" s="19" t="s">
        <v>40</v>
      </c>
      <c r="F36" s="20" t="s">
        <v>177</v>
      </c>
      <c r="G36" s="21" t="s">
        <v>178</v>
      </c>
      <c r="H36" s="21"/>
      <c r="I36" s="10" t="s">
        <v>94</v>
      </c>
      <c r="J36" s="22"/>
      <c r="K36" s="23"/>
      <c r="L36" s="23"/>
    </row>
    <row r="37" customFormat="false" ht="31.5" hidden="false" customHeight="true" outlineLevel="0" collapsed="false">
      <c r="A37" s="19" t="n">
        <v>33</v>
      </c>
      <c r="B37" s="19" t="n">
        <v>5</v>
      </c>
      <c r="C37" s="19" t="s">
        <v>56</v>
      </c>
      <c r="D37" s="19" t="s">
        <v>174</v>
      </c>
      <c r="E37" s="19" t="s">
        <v>40</v>
      </c>
      <c r="F37" s="20" t="s">
        <v>179</v>
      </c>
      <c r="G37" s="21" t="s">
        <v>180</v>
      </c>
      <c r="H37" s="21"/>
      <c r="I37" s="10" t="s">
        <v>94</v>
      </c>
      <c r="J37" s="22"/>
      <c r="K37" s="23"/>
      <c r="L37" s="23"/>
    </row>
    <row r="38" customFormat="false" ht="27.75" hidden="false" customHeight="true" outlineLevel="0" collapsed="false">
      <c r="A38" s="19" t="n">
        <v>34</v>
      </c>
      <c r="B38" s="19" t="n">
        <v>5</v>
      </c>
      <c r="C38" s="19" t="s">
        <v>56</v>
      </c>
      <c r="D38" s="19" t="s">
        <v>174</v>
      </c>
      <c r="E38" s="19" t="s">
        <v>40</v>
      </c>
      <c r="F38" s="20" t="s">
        <v>181</v>
      </c>
      <c r="G38" s="21" t="s">
        <v>182</v>
      </c>
      <c r="H38" s="21"/>
      <c r="I38" s="10" t="s">
        <v>94</v>
      </c>
      <c r="J38" s="22"/>
      <c r="K38" s="23"/>
      <c r="L38" s="23"/>
    </row>
    <row r="39" customFormat="false" ht="27.75" hidden="false" customHeight="true" outlineLevel="0" collapsed="false">
      <c r="A39" s="19" t="n">
        <v>35</v>
      </c>
      <c r="B39" s="19" t="n">
        <v>5</v>
      </c>
      <c r="C39" s="19" t="s">
        <v>56</v>
      </c>
      <c r="D39" s="19" t="s">
        <v>174</v>
      </c>
      <c r="E39" s="19" t="s">
        <v>40</v>
      </c>
      <c r="F39" s="20" t="s">
        <v>183</v>
      </c>
      <c r="G39" s="21" t="s">
        <v>184</v>
      </c>
      <c r="H39" s="21"/>
      <c r="I39" s="10" t="s">
        <v>94</v>
      </c>
      <c r="J39" s="22"/>
      <c r="K39" s="23"/>
      <c r="L39" s="23"/>
    </row>
    <row r="40" customFormat="false" ht="31.5" hidden="false" customHeight="true" outlineLevel="0" collapsed="false">
      <c r="A40" s="19" t="n">
        <v>36</v>
      </c>
      <c r="B40" s="19" t="n">
        <v>6</v>
      </c>
      <c r="C40" s="19" t="s">
        <v>58</v>
      </c>
      <c r="D40" s="19" t="s">
        <v>174</v>
      </c>
      <c r="E40" s="24" t="s">
        <v>185</v>
      </c>
      <c r="F40" s="20" t="s">
        <v>186</v>
      </c>
      <c r="G40" s="21" t="s">
        <v>187</v>
      </c>
      <c r="H40" s="21" t="s">
        <v>188</v>
      </c>
      <c r="I40" s="10" t="s">
        <v>94</v>
      </c>
      <c r="J40" s="22"/>
      <c r="K40" s="23"/>
      <c r="L40" s="23"/>
    </row>
    <row r="41" customFormat="false" ht="27.75" hidden="false" customHeight="true" outlineLevel="0" collapsed="false">
      <c r="A41" s="19" t="n">
        <v>37</v>
      </c>
      <c r="B41" s="19" t="n">
        <v>6</v>
      </c>
      <c r="C41" s="19" t="s">
        <v>58</v>
      </c>
      <c r="D41" s="19" t="s">
        <v>189</v>
      </c>
      <c r="E41" s="24" t="s">
        <v>185</v>
      </c>
      <c r="F41" s="20" t="s">
        <v>190</v>
      </c>
      <c r="G41" s="21" t="s">
        <v>191</v>
      </c>
      <c r="H41" s="21" t="s">
        <v>192</v>
      </c>
      <c r="I41" s="10" t="s">
        <v>94</v>
      </c>
      <c r="J41" s="22"/>
      <c r="K41" s="23"/>
      <c r="L41" s="23"/>
    </row>
    <row r="42" customFormat="false" ht="31.5" hidden="false" customHeight="true" outlineLevel="0" collapsed="false">
      <c r="A42" s="19" t="n">
        <v>38</v>
      </c>
      <c r="B42" s="19" t="n">
        <v>6</v>
      </c>
      <c r="C42" s="19" t="s">
        <v>58</v>
      </c>
      <c r="D42" s="19" t="s">
        <v>189</v>
      </c>
      <c r="E42" s="24" t="s">
        <v>185</v>
      </c>
      <c r="F42" s="20" t="s">
        <v>193</v>
      </c>
      <c r="G42" s="21" t="s">
        <v>194</v>
      </c>
      <c r="H42" s="21" t="s">
        <v>192</v>
      </c>
      <c r="I42" s="10" t="s">
        <v>94</v>
      </c>
      <c r="J42" s="22"/>
      <c r="K42" s="23"/>
      <c r="L42" s="23"/>
    </row>
    <row r="43" customFormat="false" ht="31.5" hidden="false" customHeight="true" outlineLevel="0" collapsed="false">
      <c r="A43" s="19" t="n">
        <v>39</v>
      </c>
      <c r="B43" s="19" t="n">
        <v>7</v>
      </c>
      <c r="C43" s="19" t="s">
        <v>58</v>
      </c>
      <c r="D43" s="19" t="s">
        <v>189</v>
      </c>
      <c r="E43" s="24" t="s">
        <v>185</v>
      </c>
      <c r="F43" s="20" t="s">
        <v>195</v>
      </c>
      <c r="G43" s="21" t="s">
        <v>196</v>
      </c>
      <c r="H43" s="21" t="s">
        <v>160</v>
      </c>
      <c r="I43" s="10" t="s">
        <v>94</v>
      </c>
      <c r="J43" s="22"/>
      <c r="K43" s="23"/>
      <c r="L43" s="23"/>
    </row>
    <row r="44" customFormat="false" ht="31.5" hidden="false" customHeight="true" outlineLevel="0" collapsed="false">
      <c r="A44" s="19" t="n">
        <v>40</v>
      </c>
      <c r="B44" s="19" t="n">
        <v>7</v>
      </c>
      <c r="C44" s="19" t="s">
        <v>58</v>
      </c>
      <c r="D44" s="19" t="s">
        <v>189</v>
      </c>
      <c r="E44" s="24" t="s">
        <v>185</v>
      </c>
      <c r="F44" s="20" t="s">
        <v>197</v>
      </c>
      <c r="G44" s="21" t="s">
        <v>198</v>
      </c>
      <c r="H44" s="21"/>
      <c r="I44" s="10" t="s">
        <v>94</v>
      </c>
      <c r="J44" s="22"/>
      <c r="K44" s="23"/>
      <c r="L44" s="23"/>
    </row>
    <row r="45" customFormat="false" ht="31.5" hidden="false" customHeight="true" outlineLevel="0" collapsed="false">
      <c r="A45" s="19" t="n">
        <v>41</v>
      </c>
      <c r="B45" s="19" t="n">
        <v>7</v>
      </c>
      <c r="C45" s="19" t="s">
        <v>58</v>
      </c>
      <c r="D45" s="19" t="s">
        <v>189</v>
      </c>
      <c r="E45" s="24" t="s">
        <v>185</v>
      </c>
      <c r="F45" s="20" t="s">
        <v>199</v>
      </c>
      <c r="G45" s="21" t="s">
        <v>200</v>
      </c>
      <c r="H45" s="21" t="s">
        <v>160</v>
      </c>
      <c r="I45" s="10" t="s">
        <v>94</v>
      </c>
      <c r="J45" s="22"/>
      <c r="K45" s="23"/>
      <c r="L45" s="23"/>
    </row>
    <row r="46" customFormat="false" ht="27.75" hidden="false" customHeight="true" outlineLevel="0" collapsed="false">
      <c r="A46" s="19" t="n">
        <v>42</v>
      </c>
      <c r="B46" s="19" t="n">
        <v>8</v>
      </c>
      <c r="C46" s="19" t="s">
        <v>58</v>
      </c>
      <c r="D46" s="19" t="s">
        <v>201</v>
      </c>
      <c r="E46" s="24" t="s">
        <v>185</v>
      </c>
      <c r="F46" s="20" t="s">
        <v>202</v>
      </c>
      <c r="G46" s="21" t="s">
        <v>203</v>
      </c>
      <c r="H46" s="21" t="s">
        <v>204</v>
      </c>
      <c r="I46" s="10" t="s">
        <v>94</v>
      </c>
      <c r="J46" s="22"/>
      <c r="K46" s="23"/>
      <c r="L46" s="23"/>
    </row>
    <row r="47" customFormat="false" ht="31.5" hidden="false" customHeight="true" outlineLevel="0" collapsed="false">
      <c r="A47" s="19" t="n">
        <v>43</v>
      </c>
      <c r="B47" s="19" t="n">
        <v>8</v>
      </c>
      <c r="C47" s="19" t="s">
        <v>58</v>
      </c>
      <c r="D47" s="19" t="s">
        <v>201</v>
      </c>
      <c r="E47" s="24" t="s">
        <v>185</v>
      </c>
      <c r="F47" s="20" t="s">
        <v>205</v>
      </c>
      <c r="G47" s="21" t="s">
        <v>206</v>
      </c>
      <c r="H47" s="21" t="s">
        <v>204</v>
      </c>
      <c r="I47" s="10" t="s">
        <v>94</v>
      </c>
      <c r="J47" s="22"/>
      <c r="K47" s="23"/>
      <c r="L47" s="23"/>
    </row>
    <row r="48" customFormat="false" ht="31.5" hidden="false" customHeight="true" outlineLevel="0" collapsed="false">
      <c r="A48" s="19" t="n">
        <v>44</v>
      </c>
      <c r="B48" s="19" t="n">
        <v>8</v>
      </c>
      <c r="C48" s="19" t="s">
        <v>58</v>
      </c>
      <c r="D48" s="19" t="s">
        <v>201</v>
      </c>
      <c r="E48" s="24" t="s">
        <v>185</v>
      </c>
      <c r="F48" s="20" t="s">
        <v>207</v>
      </c>
      <c r="G48" s="21" t="s">
        <v>208</v>
      </c>
      <c r="H48" s="21" t="s">
        <v>204</v>
      </c>
      <c r="I48" s="10" t="s">
        <v>94</v>
      </c>
      <c r="J48" s="22"/>
      <c r="K48" s="23"/>
      <c r="L48" s="23"/>
    </row>
    <row r="49" customFormat="false" ht="31.5" hidden="false" customHeight="true" outlineLevel="0" collapsed="false">
      <c r="A49" s="19" t="n">
        <v>45</v>
      </c>
      <c r="B49" s="19" t="n">
        <v>8</v>
      </c>
      <c r="C49" s="19" t="s">
        <v>58</v>
      </c>
      <c r="D49" s="19" t="s">
        <v>201</v>
      </c>
      <c r="E49" s="24" t="s">
        <v>185</v>
      </c>
      <c r="F49" s="20" t="s">
        <v>209</v>
      </c>
      <c r="G49" s="21" t="s">
        <v>210</v>
      </c>
      <c r="H49" s="21"/>
      <c r="I49" s="10" t="s">
        <v>94</v>
      </c>
      <c r="J49" s="22"/>
      <c r="K49" s="23"/>
      <c r="L49" s="23"/>
    </row>
    <row r="50" customFormat="false" ht="31.5" hidden="false" customHeight="true" outlineLevel="0" collapsed="false">
      <c r="A50" s="19" t="n">
        <v>46</v>
      </c>
      <c r="B50" s="19" t="n">
        <v>8</v>
      </c>
      <c r="C50" s="19" t="s">
        <v>58</v>
      </c>
      <c r="D50" s="19" t="s">
        <v>201</v>
      </c>
      <c r="E50" s="24" t="s">
        <v>185</v>
      </c>
      <c r="F50" s="20" t="s">
        <v>211</v>
      </c>
      <c r="G50" s="21" t="s">
        <v>212</v>
      </c>
      <c r="H50" s="21"/>
      <c r="I50" s="10" t="s">
        <v>94</v>
      </c>
      <c r="J50" s="22"/>
      <c r="K50" s="23"/>
      <c r="L50" s="23"/>
    </row>
    <row r="51" customFormat="false" ht="31.5" hidden="false" customHeight="true" outlineLevel="0" collapsed="false">
      <c r="A51" s="19" t="n">
        <v>47</v>
      </c>
      <c r="B51" s="19" t="n">
        <v>9</v>
      </c>
      <c r="C51" s="19" t="s">
        <v>57</v>
      </c>
      <c r="D51" s="19" t="s">
        <v>213</v>
      </c>
      <c r="E51" s="19" t="s">
        <v>40</v>
      </c>
      <c r="F51" s="20" t="s">
        <v>214</v>
      </c>
      <c r="G51" s="21" t="s">
        <v>215</v>
      </c>
      <c r="H51" s="21" t="s">
        <v>216</v>
      </c>
      <c r="I51" s="10" t="s">
        <v>94</v>
      </c>
      <c r="J51" s="22"/>
      <c r="K51" s="23"/>
      <c r="L51" s="23"/>
    </row>
    <row r="52" customFormat="false" ht="31.5" hidden="false" customHeight="true" outlineLevel="0" collapsed="false">
      <c r="A52" s="19" t="n">
        <v>48</v>
      </c>
      <c r="B52" s="19" t="n">
        <v>9</v>
      </c>
      <c r="C52" s="19" t="s">
        <v>57</v>
      </c>
      <c r="D52" s="19" t="s">
        <v>213</v>
      </c>
      <c r="E52" s="19" t="s">
        <v>40</v>
      </c>
      <c r="F52" s="20" t="s">
        <v>217</v>
      </c>
      <c r="G52" s="21" t="s">
        <v>218</v>
      </c>
      <c r="H52" s="21" t="s">
        <v>219</v>
      </c>
      <c r="I52" s="10" t="s">
        <v>94</v>
      </c>
      <c r="J52" s="22"/>
      <c r="K52" s="23"/>
      <c r="L52" s="23"/>
    </row>
    <row r="53" customFormat="false" ht="31.5" hidden="false" customHeight="true" outlineLevel="0" collapsed="false">
      <c r="A53" s="19" t="n">
        <v>49</v>
      </c>
      <c r="B53" s="19" t="n">
        <v>9</v>
      </c>
      <c r="C53" s="19" t="s">
        <v>57</v>
      </c>
      <c r="D53" s="19" t="s">
        <v>213</v>
      </c>
      <c r="E53" s="19" t="s">
        <v>40</v>
      </c>
      <c r="F53" s="20" t="s">
        <v>220</v>
      </c>
      <c r="G53" s="21" t="s">
        <v>221</v>
      </c>
      <c r="H53" s="21" t="s">
        <v>222</v>
      </c>
      <c r="I53" s="10" t="s">
        <v>94</v>
      </c>
      <c r="J53" s="22"/>
      <c r="K53" s="23"/>
      <c r="L53" s="23"/>
    </row>
    <row r="54" customFormat="false" ht="27.75" hidden="false" customHeight="true" outlineLevel="0" collapsed="false">
      <c r="A54" s="19" t="n">
        <v>50</v>
      </c>
      <c r="B54" s="19" t="n">
        <v>9</v>
      </c>
      <c r="C54" s="19" t="s">
        <v>57</v>
      </c>
      <c r="D54" s="19" t="s">
        <v>213</v>
      </c>
      <c r="E54" s="19" t="s">
        <v>40</v>
      </c>
      <c r="F54" s="20" t="s">
        <v>223</v>
      </c>
      <c r="G54" s="21" t="s">
        <v>224</v>
      </c>
      <c r="H54" s="21" t="s">
        <v>225</v>
      </c>
      <c r="I54" s="10" t="s">
        <v>94</v>
      </c>
      <c r="J54" s="22"/>
      <c r="K54" s="23"/>
      <c r="L54" s="23"/>
    </row>
    <row r="55" customFormat="false" ht="31.5" hidden="false" customHeight="true" outlineLevel="0" collapsed="false">
      <c r="A55" s="19" t="n">
        <v>51</v>
      </c>
      <c r="B55" s="19" t="n">
        <v>9</v>
      </c>
      <c r="C55" s="19" t="s">
        <v>57</v>
      </c>
      <c r="D55" s="19" t="s">
        <v>213</v>
      </c>
      <c r="E55" s="19" t="s">
        <v>40</v>
      </c>
      <c r="F55" s="20" t="s">
        <v>226</v>
      </c>
      <c r="G55" s="21" t="s">
        <v>227</v>
      </c>
      <c r="H55" s="21" t="s">
        <v>228</v>
      </c>
      <c r="I55" s="10" t="s">
        <v>94</v>
      </c>
      <c r="J55" s="22"/>
      <c r="K55" s="23"/>
      <c r="L55" s="23"/>
    </row>
    <row r="56" customFormat="false" ht="31.5" hidden="false" customHeight="true" outlineLevel="0" collapsed="false">
      <c r="A56" s="19" t="n">
        <v>52</v>
      </c>
      <c r="B56" s="19" t="n">
        <v>10</v>
      </c>
      <c r="C56" s="19" t="s">
        <v>59</v>
      </c>
      <c r="D56" s="19" t="s">
        <v>213</v>
      </c>
      <c r="E56" s="24" t="s">
        <v>185</v>
      </c>
      <c r="F56" s="20" t="s">
        <v>229</v>
      </c>
      <c r="G56" s="21" t="s">
        <v>230</v>
      </c>
      <c r="H56" s="21" t="s">
        <v>231</v>
      </c>
      <c r="I56" s="10" t="s">
        <v>94</v>
      </c>
      <c r="J56" s="22"/>
      <c r="K56" s="23"/>
      <c r="L56" s="23"/>
    </row>
    <row r="57" customFormat="false" ht="31.5" hidden="false" customHeight="true" outlineLevel="0" collapsed="false">
      <c r="A57" s="19" t="n">
        <v>53</v>
      </c>
      <c r="B57" s="19" t="n">
        <v>10</v>
      </c>
      <c r="C57" s="19" t="s">
        <v>59</v>
      </c>
      <c r="D57" s="19" t="s">
        <v>213</v>
      </c>
      <c r="E57" s="24" t="s">
        <v>185</v>
      </c>
      <c r="F57" s="20" t="s">
        <v>232</v>
      </c>
      <c r="G57" s="21" t="s">
        <v>233</v>
      </c>
      <c r="H57" s="21" t="s">
        <v>231</v>
      </c>
      <c r="I57" s="10" t="s">
        <v>94</v>
      </c>
      <c r="J57" s="22"/>
      <c r="K57" s="23"/>
      <c r="L57" s="23"/>
    </row>
    <row r="58" customFormat="false" ht="31.5" hidden="false" customHeight="true" outlineLevel="0" collapsed="false">
      <c r="A58" s="19" t="n">
        <v>54</v>
      </c>
      <c r="B58" s="19" t="n">
        <v>10</v>
      </c>
      <c r="C58" s="19" t="s">
        <v>59</v>
      </c>
      <c r="D58" s="19" t="s">
        <v>213</v>
      </c>
      <c r="E58" s="24" t="s">
        <v>185</v>
      </c>
      <c r="F58" s="20" t="s">
        <v>234</v>
      </c>
      <c r="G58" s="21" t="s">
        <v>235</v>
      </c>
      <c r="H58" s="21" t="s">
        <v>160</v>
      </c>
      <c r="I58" s="10" t="s">
        <v>94</v>
      </c>
      <c r="J58" s="22"/>
      <c r="K58" s="23"/>
      <c r="L58" s="23"/>
    </row>
    <row r="59" customFormat="false" ht="31.5" hidden="false" customHeight="true" outlineLevel="0" collapsed="false">
      <c r="A59" s="19" t="n">
        <v>55</v>
      </c>
      <c r="B59" s="19" t="n">
        <v>10</v>
      </c>
      <c r="C59" s="19" t="s">
        <v>59</v>
      </c>
      <c r="D59" s="19" t="s">
        <v>213</v>
      </c>
      <c r="E59" s="24" t="s">
        <v>185</v>
      </c>
      <c r="F59" s="20" t="s">
        <v>236</v>
      </c>
      <c r="G59" s="21" t="s">
        <v>237</v>
      </c>
      <c r="H59" s="21" t="s">
        <v>231</v>
      </c>
      <c r="I59" s="10" t="s">
        <v>94</v>
      </c>
      <c r="J59" s="22"/>
      <c r="K59" s="23"/>
      <c r="L59" s="23"/>
    </row>
    <row r="60" customFormat="false" ht="31.5" hidden="false" customHeight="true" outlineLevel="0" collapsed="false">
      <c r="A60" s="19" t="n">
        <v>56</v>
      </c>
      <c r="B60" s="19" t="n">
        <v>10</v>
      </c>
      <c r="C60" s="19" t="s">
        <v>59</v>
      </c>
      <c r="D60" s="19" t="s">
        <v>213</v>
      </c>
      <c r="E60" s="24" t="s">
        <v>185</v>
      </c>
      <c r="F60" s="20" t="s">
        <v>238</v>
      </c>
      <c r="G60" s="21" t="s">
        <v>239</v>
      </c>
      <c r="H60" s="21"/>
      <c r="I60" s="10" t="s">
        <v>94</v>
      </c>
      <c r="J60" s="22"/>
      <c r="K60" s="23"/>
      <c r="L60" s="23"/>
    </row>
    <row r="61" customFormat="false" ht="31.5" hidden="false" customHeight="true" outlineLevel="0" collapsed="false">
      <c r="A61" s="19" t="n">
        <v>57</v>
      </c>
      <c r="B61" s="19" t="n">
        <v>11</v>
      </c>
      <c r="C61" s="19" t="s">
        <v>60</v>
      </c>
      <c r="D61" s="19" t="s">
        <v>240</v>
      </c>
      <c r="E61" s="19" t="s">
        <v>40</v>
      </c>
      <c r="F61" s="20" t="s">
        <v>241</v>
      </c>
      <c r="G61" s="21" t="s">
        <v>242</v>
      </c>
      <c r="H61" s="21" t="s">
        <v>69</v>
      </c>
      <c r="I61" s="10" t="s">
        <v>94</v>
      </c>
      <c r="J61" s="22"/>
      <c r="K61" s="23"/>
      <c r="L61" s="23"/>
    </row>
    <row r="62" customFormat="false" ht="31.5" hidden="false" customHeight="true" outlineLevel="0" collapsed="false">
      <c r="A62" s="19" t="n">
        <v>58</v>
      </c>
      <c r="B62" s="19" t="n">
        <v>12</v>
      </c>
      <c r="C62" s="19" t="s">
        <v>60</v>
      </c>
      <c r="D62" s="19" t="s">
        <v>240</v>
      </c>
      <c r="E62" s="19" t="s">
        <v>40</v>
      </c>
      <c r="F62" s="20" t="s">
        <v>243</v>
      </c>
      <c r="G62" s="21" t="s">
        <v>244</v>
      </c>
      <c r="H62" s="21" t="s">
        <v>136</v>
      </c>
      <c r="I62" s="10" t="s">
        <v>94</v>
      </c>
      <c r="J62" s="22"/>
      <c r="K62" s="23"/>
      <c r="L62" s="23"/>
    </row>
    <row r="63" customFormat="false" ht="31.5" hidden="false" customHeight="true" outlineLevel="0" collapsed="false">
      <c r="A63" s="19" t="n">
        <v>59</v>
      </c>
      <c r="B63" s="19" t="n">
        <v>12</v>
      </c>
      <c r="C63" s="19" t="s">
        <v>60</v>
      </c>
      <c r="D63" s="19" t="s">
        <v>245</v>
      </c>
      <c r="E63" s="19" t="s">
        <v>40</v>
      </c>
      <c r="F63" s="20" t="s">
        <v>246</v>
      </c>
      <c r="G63" s="21" t="s">
        <v>247</v>
      </c>
      <c r="H63" s="21"/>
      <c r="I63" s="10" t="s">
        <v>94</v>
      </c>
      <c r="J63" s="22"/>
      <c r="K63" s="23"/>
      <c r="L63" s="23"/>
    </row>
  </sheetData>
  <autoFilter ref="A4:L63"/>
  <conditionalFormatting sqref="I5:I63">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"Waiting on client"</formula>
    </cfRule>
    <cfRule type="cellIs" priority="5" operator="equal" aboveAverage="0" equalAverage="0" bottom="0" percent="0" rank="0" text="" dxfId="3">
      <formula>"N/A"</formula>
    </cfRule>
    <cfRule type="cellIs" priority="6" operator="equal" aboveAverage="0" equalAverage="0" bottom="0" percent="0" rank="0" text="" dxfId="0">
      <formula>"Live"</formula>
    </cfRule>
    <cfRule type="cellIs" priority="7" operator="equal" aboveAverage="0" equalAverage="0" bottom="0" percent="0" rank="0" text="" dxfId="0">
      <formula>"Pass"</formula>
    </cfRule>
    <cfRule type="cellIs" priority="8" operator="equal" aboveAverage="0" equalAverage="0" bottom="0" percent="0" rank="0" text="" dxfId="0">
      <formula>"OK"</formula>
    </cfRule>
  </conditionalFormatting>
  <conditionalFormatting sqref="A5:H63">
    <cfRule type="expression" priority="9" aboveAverage="0" equalAverage="0" bottom="0" percent="0" rank="0" text="" dxfId="11">
      <formula>$I5="Done"</formula>
    </cfRule>
  </conditionalFormatting>
  <dataValidations count="2">
    <dataValidation allowBlank="true" error="Pick an option from the list." errorStyle="stop" errorTitle="Invalid value" operator="between" showDropDown="false" showErrorMessage="false" showInputMessage="false" sqref="I5:I200" type="list">
      <formula1>"Not started,In progress,Waiting on client,Done,N/A"</formula1>
      <formula2>0</formula2>
    </dataValidation>
    <dataValidation allowBlank="true" error="Pick an option from the list." errorStyle="stop" errorTitle="Invalid value" operator="between" showDropDown="false" showErrorMessage="false" showInputMessage="false" sqref="E5:E200" type="list">
      <formula1>"Basic,Advanced"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5" min="3" style="0" width="12"/>
    <col collapsed="false" customWidth="true" hidden="false" outlineLevel="0" max="6" min="6" style="0" width="14"/>
    <col collapsed="false" customWidth="true" hidden="false" outlineLevel="0" max="7" min="7" style="0" width="26"/>
    <col collapsed="false" customWidth="true" hidden="false" outlineLevel="0" max="8" min="8" style="0" width="12"/>
    <col collapsed="false" customWidth="true" hidden="false" outlineLevel="0" max="10" min="9" style="0" width="14"/>
    <col collapsed="false" customWidth="true" hidden="false" outlineLevel="0" max="11" min="11" style="0" width="40"/>
  </cols>
  <sheetData>
    <row r="1" customFormat="false" ht="27.75" hidden="false" customHeight="true" outlineLevel="0" collapsed="false">
      <c r="A1" s="1" t="s">
        <v>248</v>
      </c>
    </row>
    <row r="2" customFormat="false" ht="15" hidden="false" customHeight="false" outlineLevel="0" collapsed="false">
      <c r="A2" s="2" t="s">
        <v>249</v>
      </c>
    </row>
    <row r="3" customFormat="false" ht="15" hidden="false" customHeight="false" outlineLevel="0" collapsed="false">
      <c r="A3" s="3" t="s">
        <v>250</v>
      </c>
    </row>
    <row r="4" customFormat="false" ht="30" hidden="false" customHeight="true" outlineLevel="0" collapsed="false">
      <c r="A4" s="8" t="s">
        <v>251</v>
      </c>
      <c r="B4" s="8" t="s">
        <v>252</v>
      </c>
      <c r="C4" s="8" t="s">
        <v>253</v>
      </c>
      <c r="D4" s="8" t="s">
        <v>254</v>
      </c>
      <c r="E4" s="8" t="s">
        <v>255</v>
      </c>
      <c r="F4" s="8" t="s">
        <v>256</v>
      </c>
      <c r="G4" s="8" t="s">
        <v>257</v>
      </c>
      <c r="H4" s="8" t="s">
        <v>90</v>
      </c>
    </row>
    <row r="5" customFormat="false" ht="15" hidden="false" customHeight="false" outlineLevel="0" collapsed="false">
      <c r="A5" s="9" t="s">
        <v>258</v>
      </c>
      <c r="B5" s="5" t="str">
        <f aca="false">IF('Start Here'!C16="","",'Start Here'!C16)</f>
        <v/>
      </c>
      <c r="C5" s="12"/>
      <c r="D5" s="10"/>
      <c r="E5" s="10"/>
      <c r="F5" s="25"/>
      <c r="G5" s="10"/>
      <c r="H5" s="10"/>
    </row>
    <row r="6" customFormat="false" ht="15" hidden="false" customHeight="false" outlineLevel="0" collapsed="false">
      <c r="A6" s="9" t="s">
        <v>259</v>
      </c>
      <c r="B6" s="5" t="str">
        <f aca="false">IF('Start Here'!C16="","",'Start Here'!C16)</f>
        <v/>
      </c>
      <c r="C6" s="12"/>
      <c r="D6" s="10"/>
      <c r="E6" s="10"/>
      <c r="F6" s="25"/>
      <c r="G6" s="10"/>
      <c r="H6" s="10"/>
    </row>
    <row r="7" customFormat="false" ht="15" hidden="false" customHeight="false" outlineLevel="0" collapsed="false">
      <c r="A7" s="9" t="s">
        <v>260</v>
      </c>
      <c r="B7" s="10"/>
      <c r="C7" s="12"/>
      <c r="D7" s="10"/>
      <c r="E7" s="10"/>
      <c r="F7" s="25"/>
      <c r="G7" s="10"/>
      <c r="H7" s="10"/>
    </row>
    <row r="9" customFormat="false" ht="15" hidden="false" customHeight="false" outlineLevel="0" collapsed="false">
      <c r="A9" s="9" t="s">
        <v>261</v>
      </c>
      <c r="B9" s="5" t="str">
        <f aca="false">IF(OR(E5="",E6=""),"",E5-E6)</f>
        <v/>
      </c>
      <c r="C9" s="2" t="s">
        <v>262</v>
      </c>
    </row>
    <row r="10" customFormat="false" ht="15" hidden="false" customHeight="false" outlineLevel="0" collapsed="false">
      <c r="A10" s="9" t="s">
        <v>263</v>
      </c>
      <c r="B10" s="26" t="str">
        <f aca="false">IF(OR(F5="",F6=""),"",F6-F5)</f>
        <v/>
      </c>
    </row>
    <row r="12" customFormat="false" ht="15" hidden="false" customHeight="false" outlineLevel="0" collapsed="false">
      <c r="A12" s="3" t="s">
        <v>264</v>
      </c>
    </row>
    <row r="13" customFormat="false" ht="30" hidden="false" customHeight="true" outlineLevel="0" collapsed="false">
      <c r="A13" s="8" t="s">
        <v>265</v>
      </c>
      <c r="B13" s="8" t="s">
        <v>266</v>
      </c>
      <c r="C13" s="8" t="s">
        <v>267</v>
      </c>
      <c r="D13" s="8" t="s">
        <v>268</v>
      </c>
      <c r="E13" s="8" t="s">
        <v>269</v>
      </c>
      <c r="F13" s="8" t="s">
        <v>270</v>
      </c>
      <c r="G13" s="8" t="s">
        <v>271</v>
      </c>
      <c r="H13" s="8" t="s">
        <v>272</v>
      </c>
      <c r="I13" s="8" t="s">
        <v>273</v>
      </c>
      <c r="J13" s="8" t="s">
        <v>274</v>
      </c>
      <c r="K13" s="8" t="s">
        <v>275</v>
      </c>
    </row>
    <row r="14" customFormat="false" ht="15" hidden="false" customHeight="false" outlineLevel="0" collapsed="false">
      <c r="A14" s="9" t="n">
        <v>1</v>
      </c>
      <c r="B14" s="27" t="s">
        <v>276</v>
      </c>
      <c r="C14" s="27" t="n">
        <v>148</v>
      </c>
      <c r="D14" s="27" t="n">
        <v>4.8</v>
      </c>
      <c r="E14" s="27" t="n">
        <v>96</v>
      </c>
      <c r="F14" s="27" t="n">
        <v>2</v>
      </c>
      <c r="G14" s="27" t="s">
        <v>277</v>
      </c>
      <c r="H14" s="27" t="n">
        <v>31</v>
      </c>
      <c r="I14" s="27" t="n">
        <v>4</v>
      </c>
      <c r="J14" s="27" t="s">
        <v>278</v>
      </c>
      <c r="K14" s="27" t="s">
        <v>279</v>
      </c>
    </row>
    <row r="15" customFormat="false" ht="15" hidden="false" customHeight="false" outlineLevel="0" collapsed="false">
      <c r="A15" s="9" t="n">
        <v>2</v>
      </c>
      <c r="B15" s="10"/>
      <c r="C15" s="10"/>
      <c r="D15" s="10"/>
      <c r="E15" s="10"/>
      <c r="F15" s="10"/>
      <c r="G15" s="10"/>
      <c r="H15" s="10"/>
      <c r="I15" s="10"/>
      <c r="J15" s="10"/>
      <c r="K15" s="10"/>
    </row>
    <row r="16" customFormat="false" ht="15" hidden="false" customHeight="false" outlineLevel="0" collapsed="false">
      <c r="A16" s="9" t="n">
        <v>3</v>
      </c>
      <c r="B16" s="10"/>
      <c r="C16" s="10"/>
      <c r="D16" s="10"/>
      <c r="E16" s="10"/>
      <c r="F16" s="10"/>
      <c r="G16" s="10"/>
      <c r="H16" s="10"/>
      <c r="I16" s="10"/>
      <c r="J16" s="10"/>
      <c r="K16" s="10"/>
    </row>
    <row r="17" customFormat="false" ht="15" hidden="false" customHeight="false" outlineLevel="0" collapsed="false">
      <c r="A17" s="9" t="n">
        <v>4</v>
      </c>
      <c r="B17" s="10"/>
      <c r="C17" s="10"/>
      <c r="D17" s="10"/>
      <c r="E17" s="10"/>
      <c r="F17" s="10"/>
      <c r="G17" s="10"/>
      <c r="H17" s="10"/>
      <c r="I17" s="10"/>
      <c r="J17" s="10"/>
      <c r="K17" s="10"/>
    </row>
    <row r="18" customFormat="false" ht="15" hidden="false" customHeight="false" outlineLevel="0" collapsed="false">
      <c r="A18" s="9" t="n">
        <v>5</v>
      </c>
      <c r="B18" s="10"/>
      <c r="C18" s="10"/>
      <c r="D18" s="10"/>
      <c r="E18" s="10"/>
      <c r="F18" s="10"/>
      <c r="G18" s="10"/>
      <c r="H18" s="10"/>
      <c r="I18" s="10"/>
      <c r="J18" s="10"/>
      <c r="K18" s="10"/>
    </row>
    <row r="19" customFormat="false" ht="15" hidden="false" customHeight="false" outlineLevel="0" collapsed="false">
      <c r="A19" s="9" t="n">
        <v>6</v>
      </c>
      <c r="B19" s="10"/>
      <c r="C19" s="10"/>
      <c r="D19" s="10"/>
      <c r="E19" s="10"/>
      <c r="F19" s="10"/>
      <c r="G19" s="10"/>
      <c r="H19" s="10"/>
      <c r="I19" s="10"/>
      <c r="J19" s="10"/>
      <c r="K19" s="10"/>
    </row>
    <row r="20" customFormat="false" ht="15" hidden="false" customHeight="false" outlineLevel="0" collapsed="false">
      <c r="A20" s="9" t="n">
        <v>7</v>
      </c>
      <c r="B20" s="10"/>
      <c r="C20" s="10"/>
      <c r="D20" s="10"/>
      <c r="E20" s="10"/>
      <c r="F20" s="10"/>
      <c r="G20" s="10"/>
      <c r="H20" s="10"/>
      <c r="I20" s="10"/>
      <c r="J20" s="10"/>
      <c r="K20" s="10"/>
    </row>
    <row r="21" customFormat="false" ht="15" hidden="false" customHeight="false" outlineLevel="0" collapsed="false">
      <c r="A21" s="9" t="n">
        <v>8</v>
      </c>
      <c r="B21" s="10"/>
      <c r="C21" s="10"/>
      <c r="D21" s="10"/>
      <c r="E21" s="10"/>
      <c r="F21" s="10"/>
      <c r="G21" s="10"/>
      <c r="H21" s="10"/>
      <c r="I21" s="10"/>
      <c r="J21" s="10"/>
      <c r="K21" s="10"/>
    </row>
    <row r="22" customFormat="false" ht="15" hidden="false" customHeight="false" outlineLevel="0" collapsed="false">
      <c r="A22" s="9" t="n">
        <v>9</v>
      </c>
      <c r="B22" s="10"/>
      <c r="C22" s="10"/>
      <c r="D22" s="10"/>
      <c r="E22" s="10"/>
      <c r="F22" s="10"/>
      <c r="G22" s="10"/>
      <c r="H22" s="10"/>
      <c r="I22" s="10"/>
      <c r="J22" s="10"/>
      <c r="K22" s="10"/>
    </row>
    <row r="23" customFormat="false" ht="15" hidden="false" customHeight="false" outlineLevel="0" collapsed="false">
      <c r="A23" s="9" t="n">
        <v>10</v>
      </c>
      <c r="B23" s="10"/>
      <c r="C23" s="10"/>
      <c r="D23" s="10"/>
      <c r="E23" s="10"/>
      <c r="F23" s="10"/>
      <c r="G23" s="10"/>
      <c r="H23" s="10"/>
      <c r="I23" s="10"/>
      <c r="J23" s="10"/>
      <c r="K23" s="10"/>
    </row>
    <row r="24" customFormat="false" ht="15" hidden="false" customHeight="false" outlineLevel="0" collapsed="false">
      <c r="A24" s="28" t="s">
        <v>280</v>
      </c>
      <c r="B24" s="6" t="str">
        <f aca="false">IF('Start Here'!C12="","Our client",'Start Here'!C12)</f>
        <v>Our client</v>
      </c>
      <c r="C24" s="10"/>
      <c r="D24" s="10"/>
      <c r="E24" s="10"/>
      <c r="F24" s="10"/>
      <c r="G24" s="10"/>
      <c r="H24" s="10"/>
      <c r="I24" s="10"/>
      <c r="J24" s="10"/>
      <c r="K24" s="10"/>
    </row>
    <row r="27" customFormat="false" ht="15" hidden="false" customHeight="false" outlineLevel="0" collapsed="false">
      <c r="A27" s="3" t="s">
        <v>281</v>
      </c>
    </row>
    <row r="28" customFormat="false" ht="30" hidden="false" customHeight="true" outlineLevel="0" collapsed="false">
      <c r="A28" s="8" t="s">
        <v>282</v>
      </c>
      <c r="B28" s="8" t="s">
        <v>283</v>
      </c>
      <c r="C28" s="8" t="s">
        <v>284</v>
      </c>
      <c r="D28" s="8" t="s">
        <v>280</v>
      </c>
      <c r="E28" s="8" t="s">
        <v>285</v>
      </c>
      <c r="F28" s="8" t="s">
        <v>286</v>
      </c>
    </row>
    <row r="29" customFormat="false" ht="15" hidden="false" customHeight="false" outlineLevel="0" collapsed="false">
      <c r="A29" s="9" t="s">
        <v>267</v>
      </c>
      <c r="B29" s="29" t="n">
        <f aca="false">IFERROR(AVERAGE(C14:C23),"")</f>
        <v>148</v>
      </c>
      <c r="C29" s="29" t="n">
        <f aca="false">IFERROR(AVERAGE(C14:C16),"")</f>
        <v>148</v>
      </c>
      <c r="D29" s="5" t="str">
        <f aca="false">IF(C24="","",C24)</f>
        <v/>
      </c>
      <c r="E29" s="29" t="str">
        <f aca="false">IF(OR(C29="",D29=""),"",C29-D29)</f>
        <v/>
      </c>
      <c r="F29" s="5" t="str">
        <f aca="false">IF(D29="","",IF(D29&gt;=C29,"On par","Behind: ask client for reviews"))</f>
        <v/>
      </c>
    </row>
    <row r="30" customFormat="false" ht="15" hidden="false" customHeight="false" outlineLevel="0" collapsed="false">
      <c r="A30" s="9" t="s">
        <v>269</v>
      </c>
      <c r="B30" s="29" t="n">
        <f aca="false">IFERROR(AVERAGE(E14:E23),"")</f>
        <v>96</v>
      </c>
      <c r="C30" s="29" t="n">
        <f aca="false">IFERROR(AVERAGE(E14:E16),"")</f>
        <v>96</v>
      </c>
      <c r="D30" s="5" t="str">
        <f aca="false">IF(E24="","",E24)</f>
        <v/>
      </c>
      <c r="E30" s="29" t="str">
        <f aca="false">IF(OR(C30="",D30=""),"",C30-D30)</f>
        <v/>
      </c>
      <c r="F30" s="5" t="str">
        <f aca="false">IF(D30="","",IF(D30&gt;=C30,"On par","Behind: ask client for photos"))</f>
        <v/>
      </c>
    </row>
    <row r="31" customFormat="false" ht="15" hidden="false" customHeight="false" outlineLevel="0" collapsed="false">
      <c r="A31" s="9" t="s">
        <v>270</v>
      </c>
      <c r="B31" s="29" t="n">
        <f aca="false">IFERROR(AVERAGE(F14:F23),"")</f>
        <v>2</v>
      </c>
      <c r="C31" s="29" t="n">
        <f aca="false">IFERROR(AVERAGE(F14:F16),"")</f>
        <v>2</v>
      </c>
      <c r="D31" s="5" t="str">
        <f aca="false">IF(F24="","",F24)</f>
        <v/>
      </c>
      <c r="E31" s="29" t="str">
        <f aca="false">IF(OR(C31="",D31=""),"",C31-D31)</f>
        <v/>
      </c>
      <c r="F31" s="5" t="str">
        <f aca="false">IF(D31="","",IF(D31&gt;B31+0.5,"Trim categories","OK"))</f>
        <v/>
      </c>
    </row>
    <row r="32" customFormat="false" ht="15" hidden="false" customHeight="false" outlineLevel="0" collapsed="false">
      <c r="A32" s="9" t="s">
        <v>272</v>
      </c>
      <c r="B32" s="29" t="n">
        <f aca="false">IFERROR(AVERAGE(H14:H23),"")</f>
        <v>31</v>
      </c>
      <c r="C32" s="29" t="n">
        <f aca="false">IFERROR(AVERAGE(H14:H16),"")</f>
        <v>31</v>
      </c>
      <c r="D32" s="5" t="str">
        <f aca="false">IF(H24="","",H24)</f>
        <v/>
      </c>
      <c r="E32" s="29" t="str">
        <f aca="false">IF(OR(C32="",D32=""),"",C32-D32)</f>
        <v/>
      </c>
      <c r="F32" s="5" t="str">
        <f aca="false">IF(D32="","",IF(D32&gt;=B32,"OK","Add services"))</f>
        <v/>
      </c>
    </row>
    <row r="33" customFormat="false" ht="15" hidden="false" customHeight="false" outlineLevel="0" collapsed="false">
      <c r="A33" s="9" t="s">
        <v>273</v>
      </c>
      <c r="B33" s="29" t="n">
        <f aca="false">IFERROR(AVERAGE(I14:I23),"")</f>
        <v>4</v>
      </c>
      <c r="C33" s="29" t="n">
        <f aca="false">IFERROR(AVERAGE(I14:I16),"")</f>
        <v>4</v>
      </c>
      <c r="D33" s="5" t="str">
        <f aca="false">IF(I24="","",I24)</f>
        <v/>
      </c>
      <c r="E33" s="29" t="str">
        <f aca="false">IF(OR(C33="",D33=""),"",C33-D33)</f>
        <v/>
      </c>
      <c r="F33" s="5" t="str">
        <f aca="false">IF(D33="","",IF(D33&gt;=3,"OK","Add features (min 3)"))</f>
        <v/>
      </c>
    </row>
    <row r="37" customFormat="false" ht="15" hidden="false" customHeight="false" outlineLevel="0" collapsed="false">
      <c r="A37" s="3" t="s">
        <v>287</v>
      </c>
    </row>
    <row r="38" customFormat="false" ht="15" hidden="false" customHeight="false" outlineLevel="0" collapsed="false">
      <c r="A38" s="9" t="s">
        <v>288</v>
      </c>
      <c r="C38" s="5" t="n">
        <f aca="false">COUNTIF(J14:J23,"Yes")</f>
        <v>0</v>
      </c>
      <c r="D38" s="2" t="s">
        <v>289</v>
      </c>
    </row>
  </sheetData>
  <conditionalFormatting sqref="F29:F33">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"Waiting on client"</formula>
    </cfRule>
    <cfRule type="cellIs" priority="5" operator="equal" aboveAverage="0" equalAverage="0" bottom="0" percent="0" rank="0" text="" dxfId="3">
      <formula>"N/A"</formula>
    </cfRule>
    <cfRule type="cellIs" priority="6" operator="equal" aboveAverage="0" equalAverage="0" bottom="0" percent="0" rank="0" text="" dxfId="0">
      <formula>"Live"</formula>
    </cfRule>
    <cfRule type="cellIs" priority="7" operator="equal" aboveAverage="0" equalAverage="0" bottom="0" percent="0" rank="0" text="" dxfId="0">
      <formula>"Pass"</formula>
    </cfRule>
    <cfRule type="cellIs" priority="8" operator="equal" aboveAverage="0" equalAverage="0" bottom="0" percent="0" rank="0" text="" dxfId="0">
      <formula>"OK"</formula>
    </cfRule>
    <cfRule type="expression" priority="9" aboveAverage="0" equalAverage="0" bottom="0" percent="0" rank="0" text="" dxfId="4">
      <formula>OR(LEFT(F29,4)="Fail",LEFT(F29,6)="Behind",LEFT(F29,4)="Need",LEFT(F29,3)="Too",LEFT(F29,3)="Add",LEFT(F29,4)="Trim")</formula>
    </cfRule>
  </conditionalFormatting>
  <dataValidations count="1">
    <dataValidation allowBlank="true" error="Pick an option from the list." errorStyle="stop" errorTitle="Invalid value" operator="between" showDropDown="false" showErrorMessage="false" showInputMessage="false" sqref="J14:J2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4" min="3" style="0" width="46"/>
    <col collapsed="false" customWidth="true" hidden="false" outlineLevel="0" max="5" min="5" style="0" width="30"/>
    <col collapsed="false" customWidth="true" hidden="false" outlineLevel="0" max="6" min="6" style="0" width="40"/>
  </cols>
  <sheetData>
    <row r="1" customFormat="false" ht="27.75" hidden="false" customHeight="true" outlineLevel="0" collapsed="false">
      <c r="A1" s="1" t="s">
        <v>290</v>
      </c>
    </row>
    <row r="2" customFormat="false" ht="15" hidden="false" customHeight="false" outlineLevel="0" collapsed="false">
      <c r="A2" s="2" t="s">
        <v>291</v>
      </c>
    </row>
    <row r="4" customFormat="false" ht="30" hidden="false" customHeight="true" outlineLevel="0" collapsed="false">
      <c r="A4" s="8" t="s">
        <v>81</v>
      </c>
      <c r="B4" s="8" t="s">
        <v>65</v>
      </c>
      <c r="C4" s="8" t="s">
        <v>292</v>
      </c>
      <c r="D4" s="8" t="s">
        <v>293</v>
      </c>
      <c r="E4" s="8" t="s">
        <v>66</v>
      </c>
      <c r="F4" s="8" t="s">
        <v>294</v>
      </c>
    </row>
    <row r="5" customFormat="false" ht="33.75" hidden="false" customHeight="true" outlineLevel="0" collapsed="false">
      <c r="A5" s="5" t="n">
        <v>1</v>
      </c>
      <c r="B5" s="30" t="s">
        <v>295</v>
      </c>
      <c r="C5" s="31" t="s">
        <v>296</v>
      </c>
      <c r="D5" s="23"/>
      <c r="E5" s="5" t="str">
        <f aca="false">IF(D5="","",IF(D5="Yes","Pass","Fail: easy win"))</f>
        <v/>
      </c>
      <c r="F5" s="23"/>
    </row>
    <row r="6" customFormat="false" ht="33.75" hidden="false" customHeight="true" outlineLevel="0" collapsed="false">
      <c r="A6" s="5" t="n">
        <v>2</v>
      </c>
      <c r="B6" s="30" t="s">
        <v>297</v>
      </c>
      <c r="C6" s="31" t="s">
        <v>298</v>
      </c>
      <c r="D6" s="23"/>
      <c r="E6" s="5" t="str">
        <f aca="false">IF(D6="","",IF(AND(ISNUMBER(SEARCH('Start Here'!$C$18,D6)),ISNUMBER(SEARCH('Start Here'!$C$17,D6))),"Pass","Fail: add category + city"))</f>
        <v/>
      </c>
      <c r="F6" s="23"/>
    </row>
    <row r="7" customFormat="false" ht="33.75" hidden="false" customHeight="true" outlineLevel="0" collapsed="false">
      <c r="A7" s="5" t="n">
        <v>3</v>
      </c>
      <c r="B7" s="30" t="s">
        <v>299</v>
      </c>
      <c r="C7" s="31" t="s">
        <v>300</v>
      </c>
      <c r="D7" s="32" t="str">
        <f aca="false">IF(D6="","",LEN(D6))</f>
        <v/>
      </c>
      <c r="E7" s="5" t="str">
        <f aca="false">IF(D6="","",IF(D7&lt;=200,"OK","Too long: trim"))</f>
        <v/>
      </c>
      <c r="F7" s="23"/>
    </row>
    <row r="8" customFormat="false" ht="33.75" hidden="false" customHeight="true" outlineLevel="0" collapsed="false">
      <c r="A8" s="5" t="n">
        <v>4</v>
      </c>
      <c r="B8" s="30" t="s">
        <v>301</v>
      </c>
      <c r="C8" s="31" t="s">
        <v>302</v>
      </c>
      <c r="D8" s="23"/>
      <c r="E8" s="5" t="str">
        <f aca="false">IF(D8="","",IF(AND(ISNUMBER(SEARCH('Start Here'!$C$18,D8)),ISNUMBER(SEARCH('Start Here'!$C$17,D8))),"Pass","Fail: H1 = category + city"))</f>
        <v/>
      </c>
      <c r="F8" s="23"/>
    </row>
    <row r="9" customFormat="false" ht="33.75" hidden="false" customHeight="true" outlineLevel="0" collapsed="false">
      <c r="A9" s="5" t="n">
        <v>5</v>
      </c>
      <c r="B9" s="30" t="s">
        <v>303</v>
      </c>
      <c r="C9" s="31" t="s">
        <v>38</v>
      </c>
      <c r="D9" s="23"/>
      <c r="E9" s="5" t="str">
        <f aca="false">IF(D9="","",IF(D9="Yes","Pass","Fail: rewrite H2s"))</f>
        <v/>
      </c>
      <c r="F9" s="23"/>
    </row>
    <row r="10" customFormat="false" ht="33.75" hidden="false" customHeight="true" outlineLevel="0" collapsed="false">
      <c r="A10" s="5" t="n">
        <v>6</v>
      </c>
      <c r="B10" s="30" t="s">
        <v>304</v>
      </c>
      <c r="C10" s="31" t="s">
        <v>38</v>
      </c>
      <c r="D10" s="23"/>
      <c r="E10" s="5" t="str">
        <f aca="false">IF(D10="","",IF(D10="Yes","Pass","Fail: add to footer"))</f>
        <v/>
      </c>
      <c r="F10" s="23"/>
    </row>
    <row r="11" customFormat="false" ht="33.75" hidden="false" customHeight="true" outlineLevel="0" collapsed="false">
      <c r="A11" s="5" t="n">
        <v>7</v>
      </c>
      <c r="B11" s="30" t="s">
        <v>305</v>
      </c>
      <c r="C11" s="31" t="s">
        <v>306</v>
      </c>
      <c r="D11" s="23"/>
      <c r="E11" s="5" t="str">
        <f aca="false">IF(D11="","",IF(D11&gt;='Start Here'!$C$25,"Pass","Fail: build pages (Advanced)"))</f>
        <v/>
      </c>
      <c r="F11" s="23"/>
    </row>
    <row r="12" customFormat="false" ht="33.75" hidden="false" customHeight="true" outlineLevel="0" collapsed="false">
      <c r="A12" s="5" t="n">
        <v>8</v>
      </c>
      <c r="B12" s="30" t="s">
        <v>307</v>
      </c>
      <c r="C12" s="31" t="s">
        <v>38</v>
      </c>
      <c r="D12" s="23"/>
      <c r="E12" s="5" t="str">
        <f aca="false">IF(D12="","",IF(D12="Yes","Pass","Fail: add schema"))</f>
        <v/>
      </c>
      <c r="F12" s="23"/>
    </row>
    <row r="13" customFormat="false" ht="33.75" hidden="false" customHeight="true" outlineLevel="0" collapsed="false">
      <c r="A13" s="5" t="n">
        <v>9</v>
      </c>
      <c r="B13" s="30" t="s">
        <v>308</v>
      </c>
      <c r="C13" s="31" t="s">
        <v>38</v>
      </c>
      <c r="D13" s="23"/>
      <c r="E13" s="5" t="str">
        <f aca="false">IF(D13="","",IF(D13="Yes","Pass","Fail: embed GBP map"))</f>
        <v/>
      </c>
      <c r="F13" s="23"/>
    </row>
    <row r="16" customFormat="false" ht="15" hidden="false" customHeight="false" outlineLevel="0" collapsed="false">
      <c r="B16" s="2" t="s">
        <v>309</v>
      </c>
    </row>
  </sheetData>
  <conditionalFormatting sqref="E5:E13">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"Waiting on client"</formula>
    </cfRule>
    <cfRule type="cellIs" priority="5" operator="equal" aboveAverage="0" equalAverage="0" bottom="0" percent="0" rank="0" text="" dxfId="3">
      <formula>"N/A"</formula>
    </cfRule>
    <cfRule type="cellIs" priority="6" operator="equal" aboveAverage="0" equalAverage="0" bottom="0" percent="0" rank="0" text="" dxfId="0">
      <formula>"Live"</formula>
    </cfRule>
    <cfRule type="cellIs" priority="7" operator="equal" aboveAverage="0" equalAverage="0" bottom="0" percent="0" rank="0" text="" dxfId="0">
      <formula>"Pass"</formula>
    </cfRule>
    <cfRule type="cellIs" priority="8" operator="equal" aboveAverage="0" equalAverage="0" bottom="0" percent="0" rank="0" text="" dxfId="0">
      <formula>"OK"</formula>
    </cfRule>
    <cfRule type="expression" priority="9" aboveAverage="0" equalAverage="0" bottom="0" percent="0" rank="0" text="" dxfId="4">
      <formula>OR(LEFT(E5,4)="Fail",LEFT(E5,6)="Behind",LEFT(E5,4)="Need",LEFT(E5,3)="Too",LEFT(E5,3)="Add",LEFT(E5,4)="Trim")</formula>
    </cfRule>
  </conditionalFormatting>
  <dataValidations count="5">
    <dataValidation allowBlank="true" error="Pick an option from the list." errorStyle="stop" errorTitle="Invalid value" operator="between" showDropDown="false" showErrorMessage="false" showInputMessage="false" sqref="D5" type="list">
      <formula1>"Yes,No"</formula1>
      <formula2>0</formula2>
    </dataValidation>
    <dataValidation allowBlank="true" error="Pick an option from the list." errorStyle="stop" errorTitle="Invalid value" operator="between" showDropDown="false" showErrorMessage="false" showInputMessage="false" sqref="D9" type="list">
      <formula1>"Yes,No"</formula1>
      <formula2>0</formula2>
    </dataValidation>
    <dataValidation allowBlank="true" error="Pick an option from the list." errorStyle="stop" errorTitle="Invalid value" operator="between" showDropDown="false" showErrorMessage="false" showInputMessage="false" sqref="D10" type="list">
      <formula1>"Yes,No"</formula1>
      <formula2>0</formula2>
    </dataValidation>
    <dataValidation allowBlank="true" error="Pick an option from the list." errorStyle="stop" errorTitle="Invalid value" operator="between" showDropDown="false" showErrorMessage="false" showInputMessage="false" sqref="D12" type="list">
      <formula1>"Yes,No"</formula1>
      <formula2>0</formula2>
    </dataValidation>
    <dataValidation allowBlank="true" error="Pick an option from the list." errorStyle="stop" errorTitle="Invalid value" operator="between" showDropDown="false" showErrorMessage="false" showInputMessage="false" sqref="D1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28"/>
    <col collapsed="false" customWidth="true" hidden="false" outlineLevel="0" max="4" min="4" style="0" width="16"/>
    <col collapsed="false" customWidth="true" hidden="false" outlineLevel="0" max="5" min="5" style="0" width="40"/>
  </cols>
  <sheetData>
    <row r="1" customFormat="false" ht="27.75" hidden="false" customHeight="true" outlineLevel="0" collapsed="false">
      <c r="A1" s="1" t="s">
        <v>147</v>
      </c>
    </row>
    <row r="2" customFormat="false" ht="15" hidden="false" customHeight="false" outlineLevel="0" collapsed="false">
      <c r="A2" s="2" t="s">
        <v>310</v>
      </c>
    </row>
    <row r="3" customFormat="false" ht="15" hidden="false" customHeight="false" outlineLevel="0" collapsed="false">
      <c r="B3" s="3" t="s">
        <v>311</v>
      </c>
    </row>
    <row r="4" customFormat="false" ht="30" hidden="false" customHeight="true" outlineLevel="0" collapsed="false">
      <c r="B4" s="8" t="s">
        <v>282</v>
      </c>
      <c r="C4" s="8" t="s">
        <v>13</v>
      </c>
      <c r="D4" s="8"/>
      <c r="E4" s="8" t="s">
        <v>312</v>
      </c>
    </row>
    <row r="5" customFormat="false" ht="15" hidden="false" customHeight="false" outlineLevel="0" collapsed="false">
      <c r="B5" s="9" t="s">
        <v>313</v>
      </c>
      <c r="C5" s="10"/>
      <c r="E5" s="11" t="s">
        <v>314</v>
      </c>
    </row>
    <row r="6" customFormat="false" ht="15" hidden="false" customHeight="false" outlineLevel="0" collapsed="false">
      <c r="B6" s="9" t="s">
        <v>315</v>
      </c>
      <c r="C6" s="10"/>
      <c r="E6" s="11" t="s">
        <v>316</v>
      </c>
    </row>
    <row r="7" customFormat="false" ht="15" hidden="false" customHeight="false" outlineLevel="0" collapsed="false">
      <c r="B7" s="9" t="s">
        <v>317</v>
      </c>
      <c r="C7" s="10"/>
      <c r="E7" s="11" t="s">
        <v>318</v>
      </c>
    </row>
    <row r="8" customFormat="false" ht="15" hidden="false" customHeight="false" outlineLevel="0" collapsed="false">
      <c r="B8" s="9" t="s">
        <v>319</v>
      </c>
      <c r="C8" s="10"/>
      <c r="E8" s="11"/>
    </row>
    <row r="9" customFormat="false" ht="15" hidden="false" customHeight="false" outlineLevel="0" collapsed="false">
      <c r="B9" s="9" t="s">
        <v>320</v>
      </c>
      <c r="C9" s="10"/>
      <c r="E9" s="11"/>
    </row>
    <row r="11" customFormat="false" ht="15" hidden="false" customHeight="false" outlineLevel="0" collapsed="false">
      <c r="B11" s="3" t="s">
        <v>321</v>
      </c>
    </row>
    <row r="12" customFormat="false" ht="30" hidden="false" customHeight="true" outlineLevel="0" collapsed="false">
      <c r="B12" s="8" t="s">
        <v>322</v>
      </c>
      <c r="C12" s="8" t="s">
        <v>323</v>
      </c>
      <c r="D12" s="8"/>
      <c r="E12" s="8" t="s">
        <v>324</v>
      </c>
    </row>
    <row r="13" customFormat="false" ht="15" hidden="false" customHeight="false" outlineLevel="0" collapsed="false">
      <c r="B13" s="10"/>
      <c r="C13" s="10"/>
      <c r="D13" s="33" t="s">
        <v>325</v>
      </c>
      <c r="E13" s="10"/>
    </row>
    <row r="14" customFormat="false" ht="15" hidden="false" customHeight="false" outlineLevel="0" collapsed="false">
      <c r="B14" s="10"/>
      <c r="C14" s="10"/>
      <c r="D14" s="33" t="s">
        <v>326</v>
      </c>
      <c r="E14" s="10"/>
    </row>
    <row r="15" customFormat="false" ht="15" hidden="false" customHeight="false" outlineLevel="0" collapsed="false">
      <c r="B15" s="10"/>
      <c r="C15" s="10"/>
      <c r="D15" s="33" t="s">
        <v>327</v>
      </c>
      <c r="E15" s="10"/>
    </row>
    <row r="16" customFormat="false" ht="15" hidden="false" customHeight="false" outlineLevel="0" collapsed="false">
      <c r="B16" s="10"/>
      <c r="C16" s="10"/>
      <c r="D16" s="33" t="s">
        <v>328</v>
      </c>
      <c r="E16" s="10"/>
    </row>
    <row r="17" customFormat="false" ht="15" hidden="false" customHeight="false" outlineLevel="0" collapsed="false">
      <c r="B17" s="10"/>
      <c r="C17" s="10"/>
    </row>
    <row r="18" customFormat="false" ht="15" hidden="false" customHeight="false" outlineLevel="0" collapsed="false">
      <c r="B18" s="10"/>
      <c r="C18" s="10"/>
    </row>
    <row r="19" customFormat="false" ht="15" hidden="false" customHeight="false" outlineLevel="0" collapsed="false">
      <c r="B19" s="10"/>
      <c r="C19" s="10"/>
    </row>
    <row r="20" customFormat="false" ht="15" hidden="false" customHeight="false" outlineLevel="0" collapsed="false">
      <c r="B20" s="10"/>
      <c r="C20" s="10"/>
    </row>
    <row r="21" customFormat="false" ht="15" hidden="false" customHeight="false" outlineLevel="0" collapsed="false">
      <c r="B21" s="34" t="s">
        <v>329</v>
      </c>
      <c r="C21" s="5" t="n">
        <f aca="false">COUNTA(B13:B20)</f>
        <v>0</v>
      </c>
      <c r="D21" s="34" t="s">
        <v>330</v>
      </c>
      <c r="E21" s="5" t="str">
        <f aca="false">COUNTA(E13:E16)&amp;IF(COUNTA(E13:E16)&gt;4," – too many"," – OK")</f>
        <v>0 – OK</v>
      </c>
    </row>
    <row r="23" customFormat="false" ht="15" hidden="false" customHeight="false" outlineLevel="0" collapsed="false">
      <c r="B23" s="3" t="s">
        <v>331</v>
      </c>
    </row>
    <row r="24" customFormat="false" ht="30" hidden="false" customHeight="true" outlineLevel="0" collapsed="false">
      <c r="B24" s="8" t="s">
        <v>332</v>
      </c>
      <c r="C24" s="8" t="s">
        <v>333</v>
      </c>
      <c r="D24" s="8"/>
      <c r="E24" s="8" t="s">
        <v>312</v>
      </c>
    </row>
    <row r="25" customFormat="false" ht="15" hidden="false" customHeight="false" outlineLevel="0" collapsed="false">
      <c r="B25" s="6" t="s">
        <v>334</v>
      </c>
      <c r="C25" s="15" t="str">
        <f aca="false">COUNTIF(C27:C31,"Yes")&amp;" of 5"</f>
        <v>0 of 5</v>
      </c>
    </row>
    <row r="26" customFormat="false" ht="15" hidden="false" customHeight="false" outlineLevel="0" collapsed="false">
      <c r="B26" s="6" t="s">
        <v>52</v>
      </c>
      <c r="C26" s="17" t="str">
        <f aca="false">IF(COUNTA(C27:C31)=0,"",IF(COUNTIF(C27:C31,"Yes")&gt;=3,"OK","Add features (min 3)"))</f>
        <v/>
      </c>
    </row>
    <row r="27" customFormat="false" ht="15" hidden="false" customHeight="false" outlineLevel="0" collapsed="false">
      <c r="B27" s="9" t="s">
        <v>335</v>
      </c>
      <c r="C27" s="10"/>
    </row>
    <row r="28" customFormat="false" ht="15" hidden="false" customHeight="false" outlineLevel="0" collapsed="false">
      <c r="B28" s="9" t="s">
        <v>336</v>
      </c>
      <c r="C28" s="10"/>
    </row>
    <row r="29" customFormat="false" ht="15" hidden="false" customHeight="false" outlineLevel="0" collapsed="false">
      <c r="B29" s="9" t="s">
        <v>337</v>
      </c>
      <c r="C29" s="10"/>
    </row>
    <row r="30" customFormat="false" ht="15" hidden="false" customHeight="false" outlineLevel="0" collapsed="false">
      <c r="B30" s="9" t="s">
        <v>338</v>
      </c>
      <c r="C30" s="10"/>
    </row>
    <row r="31" customFormat="false" ht="15" hidden="false" customHeight="false" outlineLevel="0" collapsed="false">
      <c r="B31" s="9" t="s">
        <v>339</v>
      </c>
      <c r="C31" s="10"/>
    </row>
    <row r="34" customFormat="false" ht="15" hidden="false" customHeight="false" outlineLevel="0" collapsed="false">
      <c r="B34" s="3" t="s">
        <v>340</v>
      </c>
    </row>
    <row r="35" customFormat="false" ht="30" hidden="false" customHeight="true" outlineLevel="0" collapsed="false">
      <c r="B35" s="8" t="s">
        <v>341</v>
      </c>
      <c r="C35" s="8" t="s">
        <v>52</v>
      </c>
      <c r="D35" s="8"/>
      <c r="E35" s="8" t="s">
        <v>312</v>
      </c>
    </row>
    <row r="36" customFormat="false" ht="15" hidden="false" customHeight="false" outlineLevel="0" collapsed="false">
      <c r="B36" s="9" t="s">
        <v>342</v>
      </c>
      <c r="C36" s="10"/>
      <c r="E36" s="11" t="s">
        <v>38</v>
      </c>
    </row>
    <row r="37" customFormat="false" ht="15" hidden="false" customHeight="false" outlineLevel="0" collapsed="false">
      <c r="B37" s="9" t="s">
        <v>343</v>
      </c>
      <c r="C37" s="10"/>
      <c r="E37" s="11" t="s">
        <v>38</v>
      </c>
    </row>
    <row r="38" customFormat="false" ht="15" hidden="false" customHeight="false" outlineLevel="0" collapsed="false">
      <c r="B38" s="9" t="s">
        <v>344</v>
      </c>
      <c r="C38" s="5" t="n">
        <f aca="false">Services!C6</f>
        <v>1</v>
      </c>
      <c r="E38" s="11"/>
    </row>
    <row r="39" customFormat="false" ht="15" hidden="false" customHeight="false" outlineLevel="0" collapsed="false">
      <c r="B39" s="9" t="s">
        <v>345</v>
      </c>
      <c r="C39" s="5" t="str">
        <f aca="false">Services!C8</f>
        <v>1 of 1</v>
      </c>
      <c r="E39" s="11"/>
    </row>
    <row r="40" customFormat="false" ht="15" hidden="false" customHeight="false" outlineLevel="0" collapsed="false">
      <c r="B40" s="9" t="s">
        <v>346</v>
      </c>
      <c r="C40" s="10"/>
      <c r="E40" s="11" t="s">
        <v>38</v>
      </c>
    </row>
    <row r="41" customFormat="false" ht="15" hidden="false" customHeight="false" outlineLevel="0" collapsed="false">
      <c r="B41" s="9" t="s">
        <v>347</v>
      </c>
      <c r="C41" s="10"/>
      <c r="E41" s="11" t="s">
        <v>348</v>
      </c>
    </row>
    <row r="42" customFormat="false" ht="15" hidden="false" customHeight="false" outlineLevel="0" collapsed="false">
      <c r="B42" s="9" t="s">
        <v>349</v>
      </c>
      <c r="C42" s="10"/>
      <c r="E42" s="11" t="s">
        <v>348</v>
      </c>
    </row>
    <row r="43" customFormat="false" ht="15" hidden="false" customHeight="false" outlineLevel="0" collapsed="false">
      <c r="B43" s="9" t="s">
        <v>350</v>
      </c>
      <c r="C43" s="10"/>
      <c r="E43" s="11" t="s">
        <v>38</v>
      </c>
    </row>
  </sheetData>
  <conditionalFormatting sqref="C26">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"Waiting on client"</formula>
    </cfRule>
    <cfRule type="cellIs" priority="5" operator="equal" aboveAverage="0" equalAverage="0" bottom="0" percent="0" rank="0" text="" dxfId="3">
      <formula>"N/A"</formula>
    </cfRule>
    <cfRule type="cellIs" priority="6" operator="equal" aboveAverage="0" equalAverage="0" bottom="0" percent="0" rank="0" text="" dxfId="0">
      <formula>"Live"</formula>
    </cfRule>
    <cfRule type="cellIs" priority="7" operator="equal" aboveAverage="0" equalAverage="0" bottom="0" percent="0" rank="0" text="" dxfId="0">
      <formula>"Pass"</formula>
    </cfRule>
    <cfRule type="cellIs" priority="8" operator="equal" aboveAverage="0" equalAverage="0" bottom="0" percent="0" rank="0" text="" dxfId="0">
      <formula>"OK"</formula>
    </cfRule>
    <cfRule type="expression" priority="9" aboveAverage="0" equalAverage="0" bottom="0" percent="0" rank="0" text="" dxfId="4">
      <formula>OR(LEFT(C26,4)="Fail",LEFT(C26,6)="Behind",LEFT(C26,4)="Need",LEFT(C26,3)="Too",LEFT(C26,3)="Add",LEFT(C26,4)="Trim")</formula>
    </cfRule>
  </conditionalFormatting>
  <dataValidations count="6">
    <dataValidation allowBlank="true" error="Pick an option from the list." errorStyle="stop" errorTitle="Invalid value" operator="between" showDropDown="false" showErrorMessage="false" showInputMessage="false" sqref="C13:C20" type="list">
      <formula1>"Yes,No"</formula1>
      <formula2>0</formula2>
    </dataValidation>
    <dataValidation allowBlank="true" error="Pick an option from the list." errorStyle="stop" errorTitle="Invalid value" operator="between" showDropDown="false" showErrorMessage="false" showInputMessage="false" sqref="C27:C31" type="list">
      <formula1>"Yes,No"</formula1>
      <formula2>0</formula2>
    </dataValidation>
    <dataValidation allowBlank="true" error="Pick an option from the list." errorStyle="stop" errorTitle="Invalid value" operator="between" showDropDown="false" showErrorMessage="false" showInputMessage="false" sqref="C36" type="list">
      <formula1>"Yes,No"</formula1>
      <formula2>0</formula2>
    </dataValidation>
    <dataValidation allowBlank="true" error="Pick an option from the list." errorStyle="stop" errorTitle="Invalid value" operator="between" showDropDown="false" showErrorMessage="false" showInputMessage="false" sqref="C37" type="list">
      <formula1>"Yes,No"</formula1>
      <formula2>0</formula2>
    </dataValidation>
    <dataValidation allowBlank="true" error="Pick an option from the list." errorStyle="stop" errorTitle="Invalid value" operator="between" showDropDown="false" showErrorMessage="false" showInputMessage="false" sqref="C40" type="list">
      <formula1>"Yes,No"</formula1>
      <formula2>0</formula2>
    </dataValidation>
    <dataValidation allowBlank="true" error="Pick an option from the list." errorStyle="stop" errorTitle="Invalid value" operator="between" showDropDown="false" showErrorMessage="false" showInputMessage="false" sqref="C4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J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10"/>
    <col collapsed="false" customWidth="true" hidden="false" outlineLevel="0" max="8" min="8" style="0" width="70"/>
    <col collapsed="false" customWidth="true" hidden="false" outlineLevel="0" max="9" min="9" style="0" width="9"/>
    <col collapsed="false" customWidth="true" hidden="false" outlineLevel="0" max="10" min="10" style="0" width="12"/>
  </cols>
  <sheetData>
    <row r="1" customFormat="false" ht="27.75" hidden="false" customHeight="true" outlineLevel="0" collapsed="false">
      <c r="A1" s="1" t="s">
        <v>351</v>
      </c>
    </row>
    <row r="2" customFormat="false" ht="15" hidden="false" customHeight="false" outlineLevel="0" collapsed="false">
      <c r="A2" s="2" t="s">
        <v>352</v>
      </c>
    </row>
    <row r="4" customFormat="false" ht="15" hidden="false" customHeight="false" outlineLevel="0" collapsed="false">
      <c r="B4" s="6" t="s">
        <v>353</v>
      </c>
      <c r="C4" s="5" t="n">
        <f aca="false">COUNTA(B12:B110)</f>
        <v>1</v>
      </c>
      <c r="E4" s="35" t="s">
        <v>354</v>
      </c>
      <c r="F4" s="5" t="str">
        <f aca="false">IF(GBP!C6="","",GBP!C6)</f>
        <v/>
      </c>
    </row>
    <row r="5" customFormat="false" ht="15" hidden="false" customHeight="false" outlineLevel="0" collapsed="false">
      <c r="B5" s="6" t="s">
        <v>355</v>
      </c>
      <c r="C5" s="5" t="str">
        <f aca="false">IF(C4&gt;99,"Too many: max 99","OK")</f>
        <v>OK</v>
      </c>
    </row>
    <row r="6" customFormat="false" ht="15" hidden="false" customHeight="false" outlineLevel="0" collapsed="false">
      <c r="B6" s="6" t="s">
        <v>356</v>
      </c>
      <c r="C6" s="5" t="n">
        <f aca="false">COUNTIF(F12:F110,"Yes")</f>
        <v>1</v>
      </c>
    </row>
    <row r="7" customFormat="false" ht="15" hidden="false" customHeight="false" outlineLevel="0" collapsed="false">
      <c r="B7" s="6" t="s">
        <v>357</v>
      </c>
      <c r="C7" s="5" t="n">
        <f aca="false">COUNTIF(E12:E110,"Yes")</f>
        <v>1</v>
      </c>
    </row>
    <row r="8" customFormat="false" ht="15" hidden="false" customHeight="false" outlineLevel="0" collapsed="false">
      <c r="B8" s="6" t="s">
        <v>358</v>
      </c>
      <c r="C8" s="5" t="str">
        <f aca="false">COUNTIFS(G12:G110,"Yes",H12:H110,"&lt;&gt;")&amp;" of "&amp;COUNTIF(G12:G110,"Yes")</f>
        <v>1 of 1</v>
      </c>
    </row>
    <row r="9" customFormat="false" ht="15" hidden="false" customHeight="false" outlineLevel="0" collapsed="false">
      <c r="B9" s="6" t="s">
        <v>359</v>
      </c>
      <c r="C9" s="5" t="n">
        <f aca="false">COUNTIF(J12:J110,"Too long")</f>
        <v>0</v>
      </c>
    </row>
    <row r="11" customFormat="false" ht="30" hidden="false" customHeight="true" outlineLevel="0" collapsed="false">
      <c r="A11" s="8" t="s">
        <v>81</v>
      </c>
      <c r="B11" s="8" t="s">
        <v>360</v>
      </c>
      <c r="C11" s="8" t="s">
        <v>361</v>
      </c>
      <c r="D11" s="8" t="s">
        <v>362</v>
      </c>
      <c r="E11" s="8" t="s">
        <v>363</v>
      </c>
      <c r="F11" s="8" t="s">
        <v>364</v>
      </c>
      <c r="G11" s="8" t="s">
        <v>365</v>
      </c>
      <c r="H11" s="8" t="s">
        <v>366</v>
      </c>
      <c r="I11" s="8" t="s">
        <v>367</v>
      </c>
      <c r="J11" s="8" t="s">
        <v>368</v>
      </c>
    </row>
    <row r="12" customFormat="false" ht="42" hidden="false" customHeight="true" outlineLevel="0" collapsed="false">
      <c r="A12" s="5" t="n">
        <v>1</v>
      </c>
      <c r="B12" s="27" t="s">
        <v>369</v>
      </c>
      <c r="C12" s="27" t="s">
        <v>277</v>
      </c>
      <c r="D12" s="27" t="s">
        <v>370</v>
      </c>
      <c r="E12" s="27" t="s">
        <v>371</v>
      </c>
      <c r="F12" s="27" t="s">
        <v>371</v>
      </c>
      <c r="G12" s="27" t="s">
        <v>371</v>
      </c>
      <c r="H12" s="36" t="s">
        <v>372</v>
      </c>
      <c r="I12" s="5" t="n">
        <f aca="false">IF(H12="","",LEN(H12))</f>
        <v>193</v>
      </c>
      <c r="J12" s="5" t="str">
        <f aca="false">IF(H12="","",IF(LEN(H12)&lt;=300,"OK","Too long"))</f>
        <v>OK</v>
      </c>
    </row>
    <row r="13" customFormat="false" ht="15" hidden="false" customHeight="false" outlineLevel="0" collapsed="false">
      <c r="A13" s="5" t="n">
        <v>2</v>
      </c>
      <c r="B13" s="10"/>
      <c r="C13" s="10"/>
      <c r="D13" s="10"/>
      <c r="E13" s="10"/>
      <c r="F13" s="10"/>
      <c r="G13" s="10"/>
      <c r="H13" s="23"/>
      <c r="I13" s="5" t="str">
        <f aca="false">IF(H13="","",LEN(H13))</f>
        <v/>
      </c>
      <c r="J13" s="5" t="str">
        <f aca="false">IF(H13="","",IF(LEN(H13)&lt;=300,"OK","Too long"))</f>
        <v/>
      </c>
    </row>
    <row r="14" customFormat="false" ht="15" hidden="false" customHeight="false" outlineLevel="0" collapsed="false">
      <c r="A14" s="5" t="n">
        <v>3</v>
      </c>
      <c r="B14" s="10"/>
      <c r="C14" s="10"/>
      <c r="D14" s="10"/>
      <c r="E14" s="10"/>
      <c r="F14" s="10"/>
      <c r="G14" s="10"/>
      <c r="H14" s="23"/>
      <c r="I14" s="5" t="str">
        <f aca="false">IF(H14="","",LEN(H14))</f>
        <v/>
      </c>
      <c r="J14" s="5" t="str">
        <f aca="false">IF(H14="","",IF(LEN(H14)&lt;=300,"OK","Too long"))</f>
        <v/>
      </c>
    </row>
    <row r="15" customFormat="false" ht="15" hidden="false" customHeight="false" outlineLevel="0" collapsed="false">
      <c r="A15" s="5" t="n">
        <v>4</v>
      </c>
      <c r="B15" s="10"/>
      <c r="C15" s="10"/>
      <c r="D15" s="10"/>
      <c r="E15" s="10"/>
      <c r="F15" s="10"/>
      <c r="G15" s="10"/>
      <c r="H15" s="23"/>
      <c r="I15" s="5" t="str">
        <f aca="false">IF(H15="","",LEN(H15))</f>
        <v/>
      </c>
      <c r="J15" s="5" t="str">
        <f aca="false">IF(H15="","",IF(LEN(H15)&lt;=300,"OK","Too long"))</f>
        <v/>
      </c>
    </row>
    <row r="16" customFormat="false" ht="15" hidden="false" customHeight="false" outlineLevel="0" collapsed="false">
      <c r="A16" s="5" t="n">
        <v>5</v>
      </c>
      <c r="B16" s="10"/>
      <c r="C16" s="10"/>
      <c r="D16" s="10"/>
      <c r="E16" s="10"/>
      <c r="F16" s="10"/>
      <c r="G16" s="10"/>
      <c r="H16" s="23"/>
      <c r="I16" s="5" t="str">
        <f aca="false">IF(H16="","",LEN(H16))</f>
        <v/>
      </c>
      <c r="J16" s="5" t="str">
        <f aca="false">IF(H16="","",IF(LEN(H16)&lt;=300,"OK","Too long"))</f>
        <v/>
      </c>
    </row>
    <row r="17" customFormat="false" ht="15" hidden="false" customHeight="false" outlineLevel="0" collapsed="false">
      <c r="A17" s="5" t="n">
        <v>6</v>
      </c>
      <c r="B17" s="10"/>
      <c r="C17" s="10"/>
      <c r="D17" s="10"/>
      <c r="E17" s="10"/>
      <c r="F17" s="10"/>
      <c r="G17" s="10"/>
      <c r="H17" s="23"/>
      <c r="I17" s="5" t="str">
        <f aca="false">IF(H17="","",LEN(H17))</f>
        <v/>
      </c>
      <c r="J17" s="5" t="str">
        <f aca="false">IF(H17="","",IF(LEN(H17)&lt;=300,"OK","Too long"))</f>
        <v/>
      </c>
    </row>
    <row r="18" customFormat="false" ht="15" hidden="false" customHeight="false" outlineLevel="0" collapsed="false">
      <c r="A18" s="5" t="n">
        <v>7</v>
      </c>
      <c r="B18" s="10"/>
      <c r="C18" s="10"/>
      <c r="D18" s="10"/>
      <c r="E18" s="10"/>
      <c r="F18" s="10"/>
      <c r="G18" s="10"/>
      <c r="H18" s="23"/>
      <c r="I18" s="5" t="str">
        <f aca="false">IF(H18="","",LEN(H18))</f>
        <v/>
      </c>
      <c r="J18" s="5" t="str">
        <f aca="false">IF(H18="","",IF(LEN(H18)&lt;=300,"OK","Too long"))</f>
        <v/>
      </c>
    </row>
    <row r="19" customFormat="false" ht="15" hidden="false" customHeight="false" outlineLevel="0" collapsed="false">
      <c r="A19" s="5" t="n">
        <v>8</v>
      </c>
      <c r="B19" s="10"/>
      <c r="C19" s="10"/>
      <c r="D19" s="10"/>
      <c r="E19" s="10"/>
      <c r="F19" s="10"/>
      <c r="G19" s="10"/>
      <c r="H19" s="23"/>
      <c r="I19" s="5" t="str">
        <f aca="false">IF(H19="","",LEN(H19))</f>
        <v/>
      </c>
      <c r="J19" s="5" t="str">
        <f aca="false">IF(H19="","",IF(LEN(H19)&lt;=300,"OK","Too long"))</f>
        <v/>
      </c>
    </row>
    <row r="20" customFormat="false" ht="15" hidden="false" customHeight="false" outlineLevel="0" collapsed="false">
      <c r="A20" s="5" t="n">
        <v>9</v>
      </c>
      <c r="B20" s="10"/>
      <c r="C20" s="10"/>
      <c r="D20" s="10"/>
      <c r="E20" s="10"/>
      <c r="F20" s="10"/>
      <c r="G20" s="10"/>
      <c r="H20" s="23"/>
      <c r="I20" s="5" t="str">
        <f aca="false">IF(H20="","",LEN(H20))</f>
        <v/>
      </c>
      <c r="J20" s="5" t="str">
        <f aca="false">IF(H20="","",IF(LEN(H20)&lt;=300,"OK","Too long"))</f>
        <v/>
      </c>
    </row>
    <row r="21" customFormat="false" ht="15" hidden="false" customHeight="false" outlineLevel="0" collapsed="false">
      <c r="A21" s="5" t="n">
        <v>10</v>
      </c>
      <c r="B21" s="10"/>
      <c r="C21" s="10"/>
      <c r="D21" s="10"/>
      <c r="E21" s="10"/>
      <c r="F21" s="10"/>
      <c r="G21" s="10"/>
      <c r="H21" s="23"/>
      <c r="I21" s="5" t="str">
        <f aca="false">IF(H21="","",LEN(H21))</f>
        <v/>
      </c>
      <c r="J21" s="5" t="str">
        <f aca="false">IF(H21="","",IF(LEN(H21)&lt;=300,"OK","Too long"))</f>
        <v/>
      </c>
    </row>
    <row r="22" customFormat="false" ht="15" hidden="false" customHeight="false" outlineLevel="0" collapsed="false">
      <c r="A22" s="5" t="n">
        <v>11</v>
      </c>
      <c r="B22" s="10"/>
      <c r="C22" s="10"/>
      <c r="D22" s="10"/>
      <c r="E22" s="10"/>
      <c r="F22" s="10"/>
      <c r="G22" s="10"/>
      <c r="H22" s="23"/>
      <c r="I22" s="5" t="str">
        <f aca="false">IF(H22="","",LEN(H22))</f>
        <v/>
      </c>
      <c r="J22" s="5" t="str">
        <f aca="false">IF(H22="","",IF(LEN(H22)&lt;=300,"OK","Too long"))</f>
        <v/>
      </c>
    </row>
    <row r="23" customFormat="false" ht="15" hidden="false" customHeight="false" outlineLevel="0" collapsed="false">
      <c r="A23" s="5" t="n">
        <v>12</v>
      </c>
      <c r="B23" s="10"/>
      <c r="C23" s="10"/>
      <c r="D23" s="10"/>
      <c r="E23" s="10"/>
      <c r="F23" s="10"/>
      <c r="G23" s="10"/>
      <c r="H23" s="23"/>
      <c r="I23" s="5" t="str">
        <f aca="false">IF(H23="","",LEN(H23))</f>
        <v/>
      </c>
      <c r="J23" s="5" t="str">
        <f aca="false">IF(H23="","",IF(LEN(H23)&lt;=300,"OK","Too long"))</f>
        <v/>
      </c>
    </row>
    <row r="24" customFormat="false" ht="15" hidden="false" customHeight="false" outlineLevel="0" collapsed="false">
      <c r="A24" s="5" t="n">
        <v>13</v>
      </c>
      <c r="B24" s="10"/>
      <c r="C24" s="10"/>
      <c r="D24" s="10"/>
      <c r="E24" s="10"/>
      <c r="F24" s="10"/>
      <c r="G24" s="10"/>
      <c r="H24" s="23"/>
      <c r="I24" s="5" t="str">
        <f aca="false">IF(H24="","",LEN(H24))</f>
        <v/>
      </c>
      <c r="J24" s="5" t="str">
        <f aca="false">IF(H24="","",IF(LEN(H24)&lt;=300,"OK","Too long"))</f>
        <v/>
      </c>
    </row>
    <row r="25" customFormat="false" ht="15" hidden="false" customHeight="false" outlineLevel="0" collapsed="false">
      <c r="A25" s="5" t="n">
        <v>14</v>
      </c>
      <c r="B25" s="10"/>
      <c r="C25" s="10"/>
      <c r="D25" s="10"/>
      <c r="E25" s="10"/>
      <c r="F25" s="10"/>
      <c r="G25" s="10"/>
      <c r="H25" s="23"/>
      <c r="I25" s="5" t="str">
        <f aca="false">IF(H25="","",LEN(H25))</f>
        <v/>
      </c>
      <c r="J25" s="5" t="str">
        <f aca="false">IF(H25="","",IF(LEN(H25)&lt;=300,"OK","Too long"))</f>
        <v/>
      </c>
    </row>
    <row r="26" customFormat="false" ht="15" hidden="false" customHeight="false" outlineLevel="0" collapsed="false">
      <c r="A26" s="5" t="n">
        <v>15</v>
      </c>
      <c r="B26" s="10"/>
      <c r="C26" s="10"/>
      <c r="D26" s="10"/>
      <c r="E26" s="10"/>
      <c r="F26" s="10"/>
      <c r="G26" s="10"/>
      <c r="H26" s="23"/>
      <c r="I26" s="5" t="str">
        <f aca="false">IF(H26="","",LEN(H26))</f>
        <v/>
      </c>
      <c r="J26" s="5" t="str">
        <f aca="false">IF(H26="","",IF(LEN(H26)&lt;=300,"OK","Too long"))</f>
        <v/>
      </c>
    </row>
    <row r="27" customFormat="false" ht="15" hidden="false" customHeight="false" outlineLevel="0" collapsed="false">
      <c r="A27" s="5" t="n">
        <v>16</v>
      </c>
      <c r="B27" s="10"/>
      <c r="C27" s="10"/>
      <c r="D27" s="10"/>
      <c r="E27" s="10"/>
      <c r="F27" s="10"/>
      <c r="G27" s="10"/>
      <c r="H27" s="23"/>
      <c r="I27" s="5" t="str">
        <f aca="false">IF(H27="","",LEN(H27))</f>
        <v/>
      </c>
      <c r="J27" s="5" t="str">
        <f aca="false">IF(H27="","",IF(LEN(H27)&lt;=300,"OK","Too long"))</f>
        <v/>
      </c>
    </row>
    <row r="28" customFormat="false" ht="15" hidden="false" customHeight="false" outlineLevel="0" collapsed="false">
      <c r="A28" s="5" t="n">
        <v>17</v>
      </c>
      <c r="B28" s="10"/>
      <c r="C28" s="10"/>
      <c r="D28" s="10"/>
      <c r="E28" s="10"/>
      <c r="F28" s="10"/>
      <c r="G28" s="10"/>
      <c r="H28" s="23"/>
      <c r="I28" s="5" t="str">
        <f aca="false">IF(H28="","",LEN(H28))</f>
        <v/>
      </c>
      <c r="J28" s="5" t="str">
        <f aca="false">IF(H28="","",IF(LEN(H28)&lt;=300,"OK","Too long"))</f>
        <v/>
      </c>
    </row>
    <row r="29" customFormat="false" ht="15" hidden="false" customHeight="false" outlineLevel="0" collapsed="false">
      <c r="A29" s="5" t="n">
        <v>18</v>
      </c>
      <c r="B29" s="10"/>
      <c r="C29" s="10"/>
      <c r="D29" s="10"/>
      <c r="E29" s="10"/>
      <c r="F29" s="10"/>
      <c r="G29" s="10"/>
      <c r="H29" s="23"/>
      <c r="I29" s="5" t="str">
        <f aca="false">IF(H29="","",LEN(H29))</f>
        <v/>
      </c>
      <c r="J29" s="5" t="str">
        <f aca="false">IF(H29="","",IF(LEN(H29)&lt;=300,"OK","Too long"))</f>
        <v/>
      </c>
    </row>
    <row r="30" customFormat="false" ht="15" hidden="false" customHeight="false" outlineLevel="0" collapsed="false">
      <c r="A30" s="5" t="n">
        <v>19</v>
      </c>
      <c r="B30" s="10"/>
      <c r="C30" s="10"/>
      <c r="D30" s="10"/>
      <c r="E30" s="10"/>
      <c r="F30" s="10"/>
      <c r="G30" s="10"/>
      <c r="H30" s="23"/>
      <c r="I30" s="5" t="str">
        <f aca="false">IF(H30="","",LEN(H30))</f>
        <v/>
      </c>
      <c r="J30" s="5" t="str">
        <f aca="false">IF(H30="","",IF(LEN(H30)&lt;=300,"OK","Too long"))</f>
        <v/>
      </c>
    </row>
    <row r="31" customFormat="false" ht="15" hidden="false" customHeight="false" outlineLevel="0" collapsed="false">
      <c r="A31" s="5" t="n">
        <v>20</v>
      </c>
      <c r="B31" s="10"/>
      <c r="C31" s="10"/>
      <c r="D31" s="10"/>
      <c r="E31" s="10"/>
      <c r="F31" s="10"/>
      <c r="G31" s="10"/>
      <c r="H31" s="23"/>
      <c r="I31" s="5" t="str">
        <f aca="false">IF(H31="","",LEN(H31))</f>
        <v/>
      </c>
      <c r="J31" s="5" t="str">
        <f aca="false">IF(H31="","",IF(LEN(H31)&lt;=300,"OK","Too long"))</f>
        <v/>
      </c>
    </row>
    <row r="32" customFormat="false" ht="15" hidden="false" customHeight="false" outlineLevel="0" collapsed="false">
      <c r="A32" s="5" t="n">
        <v>21</v>
      </c>
      <c r="B32" s="10"/>
      <c r="C32" s="10"/>
      <c r="D32" s="10"/>
      <c r="E32" s="10"/>
      <c r="F32" s="10"/>
      <c r="G32" s="10"/>
      <c r="H32" s="23"/>
      <c r="I32" s="5" t="str">
        <f aca="false">IF(H32="","",LEN(H32))</f>
        <v/>
      </c>
      <c r="J32" s="5" t="str">
        <f aca="false">IF(H32="","",IF(LEN(H32)&lt;=300,"OK","Too long"))</f>
        <v/>
      </c>
    </row>
    <row r="33" customFormat="false" ht="15" hidden="false" customHeight="false" outlineLevel="0" collapsed="false">
      <c r="A33" s="5" t="n">
        <v>22</v>
      </c>
      <c r="B33" s="10"/>
      <c r="C33" s="10"/>
      <c r="D33" s="10"/>
      <c r="E33" s="10"/>
      <c r="F33" s="10"/>
      <c r="G33" s="10"/>
      <c r="H33" s="23"/>
      <c r="I33" s="5" t="str">
        <f aca="false">IF(H33="","",LEN(H33))</f>
        <v/>
      </c>
      <c r="J33" s="5" t="str">
        <f aca="false">IF(H33="","",IF(LEN(H33)&lt;=300,"OK","Too long"))</f>
        <v/>
      </c>
    </row>
    <row r="34" customFormat="false" ht="15" hidden="false" customHeight="false" outlineLevel="0" collapsed="false">
      <c r="A34" s="5" t="n">
        <v>23</v>
      </c>
      <c r="B34" s="10"/>
      <c r="C34" s="10"/>
      <c r="D34" s="10"/>
      <c r="E34" s="10"/>
      <c r="F34" s="10"/>
      <c r="G34" s="10"/>
      <c r="H34" s="23"/>
      <c r="I34" s="5" t="str">
        <f aca="false">IF(H34="","",LEN(H34))</f>
        <v/>
      </c>
      <c r="J34" s="5" t="str">
        <f aca="false">IF(H34="","",IF(LEN(H34)&lt;=300,"OK","Too long"))</f>
        <v/>
      </c>
    </row>
    <row r="35" customFormat="false" ht="15" hidden="false" customHeight="false" outlineLevel="0" collapsed="false">
      <c r="A35" s="5" t="n">
        <v>24</v>
      </c>
      <c r="B35" s="10"/>
      <c r="C35" s="10"/>
      <c r="D35" s="10"/>
      <c r="E35" s="10"/>
      <c r="F35" s="10"/>
      <c r="G35" s="10"/>
      <c r="H35" s="23"/>
      <c r="I35" s="5" t="str">
        <f aca="false">IF(H35="","",LEN(H35))</f>
        <v/>
      </c>
      <c r="J35" s="5" t="str">
        <f aca="false">IF(H35="","",IF(LEN(H35)&lt;=300,"OK","Too long"))</f>
        <v/>
      </c>
    </row>
    <row r="36" customFormat="false" ht="15" hidden="false" customHeight="false" outlineLevel="0" collapsed="false">
      <c r="A36" s="5" t="n">
        <v>25</v>
      </c>
      <c r="B36" s="10"/>
      <c r="C36" s="10"/>
      <c r="D36" s="10"/>
      <c r="E36" s="10"/>
      <c r="F36" s="10"/>
      <c r="G36" s="10"/>
      <c r="H36" s="23"/>
      <c r="I36" s="5" t="str">
        <f aca="false">IF(H36="","",LEN(H36))</f>
        <v/>
      </c>
      <c r="J36" s="5" t="str">
        <f aca="false">IF(H36="","",IF(LEN(H36)&lt;=300,"OK","Too long"))</f>
        <v/>
      </c>
    </row>
    <row r="37" customFormat="false" ht="15" hidden="false" customHeight="false" outlineLevel="0" collapsed="false">
      <c r="A37" s="5" t="n">
        <v>26</v>
      </c>
      <c r="B37" s="10"/>
      <c r="C37" s="10"/>
      <c r="D37" s="10"/>
      <c r="E37" s="10"/>
      <c r="F37" s="10"/>
      <c r="G37" s="10"/>
      <c r="H37" s="23"/>
      <c r="I37" s="5" t="str">
        <f aca="false">IF(H37="","",LEN(H37))</f>
        <v/>
      </c>
      <c r="J37" s="5" t="str">
        <f aca="false">IF(H37="","",IF(LEN(H37)&lt;=300,"OK","Too long"))</f>
        <v/>
      </c>
    </row>
    <row r="38" customFormat="false" ht="15" hidden="false" customHeight="false" outlineLevel="0" collapsed="false">
      <c r="A38" s="5" t="n">
        <v>27</v>
      </c>
      <c r="B38" s="10"/>
      <c r="C38" s="10"/>
      <c r="D38" s="10"/>
      <c r="E38" s="10"/>
      <c r="F38" s="10"/>
      <c r="G38" s="10"/>
      <c r="H38" s="23"/>
      <c r="I38" s="5" t="str">
        <f aca="false">IF(H38="","",LEN(H38))</f>
        <v/>
      </c>
      <c r="J38" s="5" t="str">
        <f aca="false">IF(H38="","",IF(LEN(H38)&lt;=300,"OK","Too long"))</f>
        <v/>
      </c>
    </row>
    <row r="39" customFormat="false" ht="15" hidden="false" customHeight="false" outlineLevel="0" collapsed="false">
      <c r="A39" s="5" t="n">
        <v>28</v>
      </c>
      <c r="B39" s="10"/>
      <c r="C39" s="10"/>
      <c r="D39" s="10"/>
      <c r="E39" s="10"/>
      <c r="F39" s="10"/>
      <c r="G39" s="10"/>
      <c r="H39" s="23"/>
      <c r="I39" s="5" t="str">
        <f aca="false">IF(H39="","",LEN(H39))</f>
        <v/>
      </c>
      <c r="J39" s="5" t="str">
        <f aca="false">IF(H39="","",IF(LEN(H39)&lt;=300,"OK","Too long"))</f>
        <v/>
      </c>
    </row>
    <row r="40" customFormat="false" ht="15" hidden="false" customHeight="false" outlineLevel="0" collapsed="false">
      <c r="A40" s="5" t="n">
        <v>29</v>
      </c>
      <c r="B40" s="10"/>
      <c r="C40" s="10"/>
      <c r="D40" s="10"/>
      <c r="E40" s="10"/>
      <c r="F40" s="10"/>
      <c r="G40" s="10"/>
      <c r="H40" s="23"/>
      <c r="I40" s="5" t="str">
        <f aca="false">IF(H40="","",LEN(H40))</f>
        <v/>
      </c>
      <c r="J40" s="5" t="str">
        <f aca="false">IF(H40="","",IF(LEN(H40)&lt;=300,"OK","Too long"))</f>
        <v/>
      </c>
    </row>
    <row r="41" customFormat="false" ht="15" hidden="false" customHeight="false" outlineLevel="0" collapsed="false">
      <c r="A41" s="5" t="n">
        <v>30</v>
      </c>
      <c r="B41" s="10"/>
      <c r="C41" s="10"/>
      <c r="D41" s="10"/>
      <c r="E41" s="10"/>
      <c r="F41" s="10"/>
      <c r="G41" s="10"/>
      <c r="H41" s="23"/>
      <c r="I41" s="5" t="str">
        <f aca="false">IF(H41="","",LEN(H41))</f>
        <v/>
      </c>
      <c r="J41" s="5" t="str">
        <f aca="false">IF(H41="","",IF(LEN(H41)&lt;=300,"OK","Too long"))</f>
        <v/>
      </c>
    </row>
    <row r="42" customFormat="false" ht="15" hidden="false" customHeight="false" outlineLevel="0" collapsed="false">
      <c r="A42" s="5" t="n">
        <v>31</v>
      </c>
      <c r="B42" s="10"/>
      <c r="C42" s="10"/>
      <c r="D42" s="10"/>
      <c r="E42" s="10"/>
      <c r="F42" s="10"/>
      <c r="G42" s="10"/>
      <c r="H42" s="23"/>
      <c r="I42" s="5" t="str">
        <f aca="false">IF(H42="","",LEN(H42))</f>
        <v/>
      </c>
      <c r="J42" s="5" t="str">
        <f aca="false">IF(H42="","",IF(LEN(H42)&lt;=300,"OK","Too long"))</f>
        <v/>
      </c>
    </row>
    <row r="43" customFormat="false" ht="15" hidden="false" customHeight="false" outlineLevel="0" collapsed="false">
      <c r="A43" s="5" t="n">
        <v>32</v>
      </c>
      <c r="B43" s="10"/>
      <c r="C43" s="10"/>
      <c r="D43" s="10"/>
      <c r="E43" s="10"/>
      <c r="F43" s="10"/>
      <c r="G43" s="10"/>
      <c r="H43" s="23"/>
      <c r="I43" s="5" t="str">
        <f aca="false">IF(H43="","",LEN(H43))</f>
        <v/>
      </c>
      <c r="J43" s="5" t="str">
        <f aca="false">IF(H43="","",IF(LEN(H43)&lt;=300,"OK","Too long"))</f>
        <v/>
      </c>
    </row>
    <row r="44" customFormat="false" ht="15" hidden="false" customHeight="false" outlineLevel="0" collapsed="false">
      <c r="A44" s="5" t="n">
        <v>33</v>
      </c>
      <c r="B44" s="10"/>
      <c r="C44" s="10"/>
      <c r="D44" s="10"/>
      <c r="E44" s="10"/>
      <c r="F44" s="10"/>
      <c r="G44" s="10"/>
      <c r="H44" s="23"/>
      <c r="I44" s="5" t="str">
        <f aca="false">IF(H44="","",LEN(H44))</f>
        <v/>
      </c>
      <c r="J44" s="5" t="str">
        <f aca="false">IF(H44="","",IF(LEN(H44)&lt;=300,"OK","Too long"))</f>
        <v/>
      </c>
    </row>
    <row r="45" customFormat="false" ht="15" hidden="false" customHeight="false" outlineLevel="0" collapsed="false">
      <c r="A45" s="5" t="n">
        <v>34</v>
      </c>
      <c r="B45" s="10"/>
      <c r="C45" s="10"/>
      <c r="D45" s="10"/>
      <c r="E45" s="10"/>
      <c r="F45" s="10"/>
      <c r="G45" s="10"/>
      <c r="H45" s="23"/>
      <c r="I45" s="5" t="str">
        <f aca="false">IF(H45="","",LEN(H45))</f>
        <v/>
      </c>
      <c r="J45" s="5" t="str">
        <f aca="false">IF(H45="","",IF(LEN(H45)&lt;=300,"OK","Too long"))</f>
        <v/>
      </c>
    </row>
    <row r="46" customFormat="false" ht="15" hidden="false" customHeight="false" outlineLevel="0" collapsed="false">
      <c r="A46" s="5" t="n">
        <v>35</v>
      </c>
      <c r="B46" s="10"/>
      <c r="C46" s="10"/>
      <c r="D46" s="10"/>
      <c r="E46" s="10"/>
      <c r="F46" s="10"/>
      <c r="G46" s="10"/>
      <c r="H46" s="23"/>
      <c r="I46" s="5" t="str">
        <f aca="false">IF(H46="","",LEN(H46))</f>
        <v/>
      </c>
      <c r="J46" s="5" t="str">
        <f aca="false">IF(H46="","",IF(LEN(H46)&lt;=300,"OK","Too long"))</f>
        <v/>
      </c>
    </row>
    <row r="47" customFormat="false" ht="15" hidden="false" customHeight="false" outlineLevel="0" collapsed="false">
      <c r="A47" s="5" t="n">
        <v>36</v>
      </c>
      <c r="B47" s="10"/>
      <c r="C47" s="10"/>
      <c r="D47" s="10"/>
      <c r="E47" s="10"/>
      <c r="F47" s="10"/>
      <c r="G47" s="10"/>
      <c r="H47" s="23"/>
      <c r="I47" s="5" t="str">
        <f aca="false">IF(H47="","",LEN(H47))</f>
        <v/>
      </c>
      <c r="J47" s="5" t="str">
        <f aca="false">IF(H47="","",IF(LEN(H47)&lt;=300,"OK","Too long"))</f>
        <v/>
      </c>
    </row>
    <row r="48" customFormat="false" ht="15" hidden="false" customHeight="false" outlineLevel="0" collapsed="false">
      <c r="A48" s="5" t="n">
        <v>37</v>
      </c>
      <c r="B48" s="10"/>
      <c r="C48" s="10"/>
      <c r="D48" s="10"/>
      <c r="E48" s="10"/>
      <c r="F48" s="10"/>
      <c r="G48" s="10"/>
      <c r="H48" s="23"/>
      <c r="I48" s="5" t="str">
        <f aca="false">IF(H48="","",LEN(H48))</f>
        <v/>
      </c>
      <c r="J48" s="5" t="str">
        <f aca="false">IF(H48="","",IF(LEN(H48)&lt;=300,"OK","Too long"))</f>
        <v/>
      </c>
    </row>
    <row r="49" customFormat="false" ht="15" hidden="false" customHeight="false" outlineLevel="0" collapsed="false">
      <c r="A49" s="5" t="n">
        <v>38</v>
      </c>
      <c r="B49" s="10"/>
      <c r="C49" s="10"/>
      <c r="D49" s="10"/>
      <c r="E49" s="10"/>
      <c r="F49" s="10"/>
      <c r="G49" s="10"/>
      <c r="H49" s="23"/>
      <c r="I49" s="5" t="str">
        <f aca="false">IF(H49="","",LEN(H49))</f>
        <v/>
      </c>
      <c r="J49" s="5" t="str">
        <f aca="false">IF(H49="","",IF(LEN(H49)&lt;=300,"OK","Too long"))</f>
        <v/>
      </c>
    </row>
    <row r="50" customFormat="false" ht="15" hidden="false" customHeight="false" outlineLevel="0" collapsed="false">
      <c r="A50" s="5" t="n">
        <v>39</v>
      </c>
      <c r="B50" s="10"/>
      <c r="C50" s="10"/>
      <c r="D50" s="10"/>
      <c r="E50" s="10"/>
      <c r="F50" s="10"/>
      <c r="G50" s="10"/>
      <c r="H50" s="23"/>
      <c r="I50" s="5" t="str">
        <f aca="false">IF(H50="","",LEN(H50))</f>
        <v/>
      </c>
      <c r="J50" s="5" t="str">
        <f aca="false">IF(H50="","",IF(LEN(H50)&lt;=300,"OK","Too long"))</f>
        <v/>
      </c>
    </row>
    <row r="51" customFormat="false" ht="15" hidden="false" customHeight="false" outlineLevel="0" collapsed="false">
      <c r="A51" s="5" t="n">
        <v>40</v>
      </c>
      <c r="B51" s="10"/>
      <c r="C51" s="10"/>
      <c r="D51" s="10"/>
      <c r="E51" s="10"/>
      <c r="F51" s="10"/>
      <c r="G51" s="10"/>
      <c r="H51" s="23"/>
      <c r="I51" s="5" t="str">
        <f aca="false">IF(H51="","",LEN(H51))</f>
        <v/>
      </c>
      <c r="J51" s="5" t="str">
        <f aca="false">IF(H51="","",IF(LEN(H51)&lt;=300,"OK","Too long"))</f>
        <v/>
      </c>
    </row>
    <row r="52" customFormat="false" ht="15" hidden="false" customHeight="false" outlineLevel="0" collapsed="false">
      <c r="A52" s="5" t="n">
        <v>41</v>
      </c>
      <c r="B52" s="10"/>
      <c r="C52" s="10"/>
      <c r="D52" s="10"/>
      <c r="E52" s="10"/>
      <c r="F52" s="10"/>
      <c r="G52" s="10"/>
      <c r="H52" s="23"/>
      <c r="I52" s="5" t="str">
        <f aca="false">IF(H52="","",LEN(H52))</f>
        <v/>
      </c>
      <c r="J52" s="5" t="str">
        <f aca="false">IF(H52="","",IF(LEN(H52)&lt;=300,"OK","Too long"))</f>
        <v/>
      </c>
    </row>
    <row r="53" customFormat="false" ht="15" hidden="false" customHeight="false" outlineLevel="0" collapsed="false">
      <c r="A53" s="5" t="n">
        <v>42</v>
      </c>
      <c r="B53" s="10"/>
      <c r="C53" s="10"/>
      <c r="D53" s="10"/>
      <c r="E53" s="10"/>
      <c r="F53" s="10"/>
      <c r="G53" s="10"/>
      <c r="H53" s="23"/>
      <c r="I53" s="5" t="str">
        <f aca="false">IF(H53="","",LEN(H53))</f>
        <v/>
      </c>
      <c r="J53" s="5" t="str">
        <f aca="false">IF(H53="","",IF(LEN(H53)&lt;=300,"OK","Too long"))</f>
        <v/>
      </c>
    </row>
    <row r="54" customFormat="false" ht="15" hidden="false" customHeight="false" outlineLevel="0" collapsed="false">
      <c r="A54" s="5" t="n">
        <v>43</v>
      </c>
      <c r="B54" s="10"/>
      <c r="C54" s="10"/>
      <c r="D54" s="10"/>
      <c r="E54" s="10"/>
      <c r="F54" s="10"/>
      <c r="G54" s="10"/>
      <c r="H54" s="23"/>
      <c r="I54" s="5" t="str">
        <f aca="false">IF(H54="","",LEN(H54))</f>
        <v/>
      </c>
      <c r="J54" s="5" t="str">
        <f aca="false">IF(H54="","",IF(LEN(H54)&lt;=300,"OK","Too long"))</f>
        <v/>
      </c>
    </row>
    <row r="55" customFormat="false" ht="15" hidden="false" customHeight="false" outlineLevel="0" collapsed="false">
      <c r="A55" s="5" t="n">
        <v>44</v>
      </c>
      <c r="B55" s="10"/>
      <c r="C55" s="10"/>
      <c r="D55" s="10"/>
      <c r="E55" s="10"/>
      <c r="F55" s="10"/>
      <c r="G55" s="10"/>
      <c r="H55" s="23"/>
      <c r="I55" s="5" t="str">
        <f aca="false">IF(H55="","",LEN(H55))</f>
        <v/>
      </c>
      <c r="J55" s="5" t="str">
        <f aca="false">IF(H55="","",IF(LEN(H55)&lt;=300,"OK","Too long"))</f>
        <v/>
      </c>
    </row>
    <row r="56" customFormat="false" ht="15" hidden="false" customHeight="false" outlineLevel="0" collapsed="false">
      <c r="A56" s="5" t="n">
        <v>45</v>
      </c>
      <c r="B56" s="10"/>
      <c r="C56" s="10"/>
      <c r="D56" s="10"/>
      <c r="E56" s="10"/>
      <c r="F56" s="10"/>
      <c r="G56" s="10"/>
      <c r="H56" s="23"/>
      <c r="I56" s="5" t="str">
        <f aca="false">IF(H56="","",LEN(H56))</f>
        <v/>
      </c>
      <c r="J56" s="5" t="str">
        <f aca="false">IF(H56="","",IF(LEN(H56)&lt;=300,"OK","Too long"))</f>
        <v/>
      </c>
    </row>
    <row r="57" customFormat="false" ht="15" hidden="false" customHeight="false" outlineLevel="0" collapsed="false">
      <c r="A57" s="5" t="n">
        <v>46</v>
      </c>
      <c r="B57" s="10"/>
      <c r="C57" s="10"/>
      <c r="D57" s="10"/>
      <c r="E57" s="10"/>
      <c r="F57" s="10"/>
      <c r="G57" s="10"/>
      <c r="H57" s="23"/>
      <c r="I57" s="5" t="str">
        <f aca="false">IF(H57="","",LEN(H57))</f>
        <v/>
      </c>
      <c r="J57" s="5" t="str">
        <f aca="false">IF(H57="","",IF(LEN(H57)&lt;=300,"OK","Too long"))</f>
        <v/>
      </c>
    </row>
    <row r="58" customFormat="false" ht="15" hidden="false" customHeight="false" outlineLevel="0" collapsed="false">
      <c r="A58" s="5" t="n">
        <v>47</v>
      </c>
      <c r="B58" s="10"/>
      <c r="C58" s="10"/>
      <c r="D58" s="10"/>
      <c r="E58" s="10"/>
      <c r="F58" s="10"/>
      <c r="G58" s="10"/>
      <c r="H58" s="23"/>
      <c r="I58" s="5" t="str">
        <f aca="false">IF(H58="","",LEN(H58))</f>
        <v/>
      </c>
      <c r="J58" s="5" t="str">
        <f aca="false">IF(H58="","",IF(LEN(H58)&lt;=300,"OK","Too long"))</f>
        <v/>
      </c>
    </row>
    <row r="59" customFormat="false" ht="15" hidden="false" customHeight="false" outlineLevel="0" collapsed="false">
      <c r="A59" s="5" t="n">
        <v>48</v>
      </c>
      <c r="B59" s="10"/>
      <c r="C59" s="10"/>
      <c r="D59" s="10"/>
      <c r="E59" s="10"/>
      <c r="F59" s="10"/>
      <c r="G59" s="10"/>
      <c r="H59" s="23"/>
      <c r="I59" s="5" t="str">
        <f aca="false">IF(H59="","",LEN(H59))</f>
        <v/>
      </c>
      <c r="J59" s="5" t="str">
        <f aca="false">IF(H59="","",IF(LEN(H59)&lt;=300,"OK","Too long"))</f>
        <v/>
      </c>
    </row>
    <row r="60" customFormat="false" ht="15" hidden="false" customHeight="false" outlineLevel="0" collapsed="false">
      <c r="A60" s="5" t="n">
        <v>49</v>
      </c>
      <c r="B60" s="10"/>
      <c r="C60" s="10"/>
      <c r="D60" s="10"/>
      <c r="E60" s="10"/>
      <c r="F60" s="10"/>
      <c r="G60" s="10"/>
      <c r="H60" s="23"/>
      <c r="I60" s="5" t="str">
        <f aca="false">IF(H60="","",LEN(H60))</f>
        <v/>
      </c>
      <c r="J60" s="5" t="str">
        <f aca="false">IF(H60="","",IF(LEN(H60)&lt;=300,"OK","Too long"))</f>
        <v/>
      </c>
    </row>
    <row r="61" customFormat="false" ht="15" hidden="false" customHeight="false" outlineLevel="0" collapsed="false">
      <c r="A61" s="5" t="n">
        <v>50</v>
      </c>
      <c r="B61" s="10"/>
      <c r="C61" s="10"/>
      <c r="D61" s="10"/>
      <c r="E61" s="10"/>
      <c r="F61" s="10"/>
      <c r="G61" s="10"/>
      <c r="H61" s="23"/>
      <c r="I61" s="5" t="str">
        <f aca="false">IF(H61="","",LEN(H61))</f>
        <v/>
      </c>
      <c r="J61" s="5" t="str">
        <f aca="false">IF(H61="","",IF(LEN(H61)&lt;=300,"OK","Too long"))</f>
        <v/>
      </c>
    </row>
    <row r="62" customFormat="false" ht="15" hidden="false" customHeight="false" outlineLevel="0" collapsed="false">
      <c r="A62" s="5" t="n">
        <v>51</v>
      </c>
      <c r="B62" s="10"/>
      <c r="C62" s="10"/>
      <c r="D62" s="10"/>
      <c r="E62" s="10"/>
      <c r="F62" s="10"/>
      <c r="G62" s="10"/>
      <c r="H62" s="23"/>
      <c r="I62" s="5" t="str">
        <f aca="false">IF(H62="","",LEN(H62))</f>
        <v/>
      </c>
      <c r="J62" s="5" t="str">
        <f aca="false">IF(H62="","",IF(LEN(H62)&lt;=300,"OK","Too long"))</f>
        <v/>
      </c>
    </row>
    <row r="63" customFormat="false" ht="15" hidden="false" customHeight="false" outlineLevel="0" collapsed="false">
      <c r="A63" s="5" t="n">
        <v>52</v>
      </c>
      <c r="B63" s="10"/>
      <c r="C63" s="10"/>
      <c r="D63" s="10"/>
      <c r="E63" s="10"/>
      <c r="F63" s="10"/>
      <c r="G63" s="10"/>
      <c r="H63" s="23"/>
      <c r="I63" s="5" t="str">
        <f aca="false">IF(H63="","",LEN(H63))</f>
        <v/>
      </c>
      <c r="J63" s="5" t="str">
        <f aca="false">IF(H63="","",IF(LEN(H63)&lt;=300,"OK","Too long"))</f>
        <v/>
      </c>
    </row>
    <row r="64" customFormat="false" ht="15" hidden="false" customHeight="false" outlineLevel="0" collapsed="false">
      <c r="A64" s="5" t="n">
        <v>53</v>
      </c>
      <c r="B64" s="10"/>
      <c r="C64" s="10"/>
      <c r="D64" s="10"/>
      <c r="E64" s="10"/>
      <c r="F64" s="10"/>
      <c r="G64" s="10"/>
      <c r="H64" s="23"/>
      <c r="I64" s="5" t="str">
        <f aca="false">IF(H64="","",LEN(H64))</f>
        <v/>
      </c>
      <c r="J64" s="5" t="str">
        <f aca="false">IF(H64="","",IF(LEN(H64)&lt;=300,"OK","Too long"))</f>
        <v/>
      </c>
    </row>
    <row r="65" customFormat="false" ht="15" hidden="false" customHeight="false" outlineLevel="0" collapsed="false">
      <c r="A65" s="5" t="n">
        <v>54</v>
      </c>
      <c r="B65" s="10"/>
      <c r="C65" s="10"/>
      <c r="D65" s="10"/>
      <c r="E65" s="10"/>
      <c r="F65" s="10"/>
      <c r="G65" s="10"/>
      <c r="H65" s="23"/>
      <c r="I65" s="5" t="str">
        <f aca="false">IF(H65="","",LEN(H65))</f>
        <v/>
      </c>
      <c r="J65" s="5" t="str">
        <f aca="false">IF(H65="","",IF(LEN(H65)&lt;=300,"OK","Too long"))</f>
        <v/>
      </c>
    </row>
    <row r="66" customFormat="false" ht="15" hidden="false" customHeight="false" outlineLevel="0" collapsed="false">
      <c r="A66" s="5" t="n">
        <v>55</v>
      </c>
      <c r="B66" s="10"/>
      <c r="C66" s="10"/>
      <c r="D66" s="10"/>
      <c r="E66" s="10"/>
      <c r="F66" s="10"/>
      <c r="G66" s="10"/>
      <c r="H66" s="23"/>
      <c r="I66" s="5" t="str">
        <f aca="false">IF(H66="","",LEN(H66))</f>
        <v/>
      </c>
      <c r="J66" s="5" t="str">
        <f aca="false">IF(H66="","",IF(LEN(H66)&lt;=300,"OK","Too long"))</f>
        <v/>
      </c>
    </row>
    <row r="67" customFormat="false" ht="15" hidden="false" customHeight="false" outlineLevel="0" collapsed="false">
      <c r="A67" s="5" t="n">
        <v>56</v>
      </c>
      <c r="B67" s="10"/>
      <c r="C67" s="10"/>
      <c r="D67" s="10"/>
      <c r="E67" s="10"/>
      <c r="F67" s="10"/>
      <c r="G67" s="10"/>
      <c r="H67" s="23"/>
      <c r="I67" s="5" t="str">
        <f aca="false">IF(H67="","",LEN(H67))</f>
        <v/>
      </c>
      <c r="J67" s="5" t="str">
        <f aca="false">IF(H67="","",IF(LEN(H67)&lt;=300,"OK","Too long"))</f>
        <v/>
      </c>
    </row>
    <row r="68" customFormat="false" ht="15" hidden="false" customHeight="false" outlineLevel="0" collapsed="false">
      <c r="A68" s="5" t="n">
        <v>57</v>
      </c>
      <c r="B68" s="10"/>
      <c r="C68" s="10"/>
      <c r="D68" s="10"/>
      <c r="E68" s="10"/>
      <c r="F68" s="10"/>
      <c r="G68" s="10"/>
      <c r="H68" s="23"/>
      <c r="I68" s="5" t="str">
        <f aca="false">IF(H68="","",LEN(H68))</f>
        <v/>
      </c>
      <c r="J68" s="5" t="str">
        <f aca="false">IF(H68="","",IF(LEN(H68)&lt;=300,"OK","Too long"))</f>
        <v/>
      </c>
    </row>
    <row r="69" customFormat="false" ht="15" hidden="false" customHeight="false" outlineLevel="0" collapsed="false">
      <c r="A69" s="5" t="n">
        <v>58</v>
      </c>
      <c r="B69" s="10"/>
      <c r="C69" s="10"/>
      <c r="D69" s="10"/>
      <c r="E69" s="10"/>
      <c r="F69" s="10"/>
      <c r="G69" s="10"/>
      <c r="H69" s="23"/>
      <c r="I69" s="5" t="str">
        <f aca="false">IF(H69="","",LEN(H69))</f>
        <v/>
      </c>
      <c r="J69" s="5" t="str">
        <f aca="false">IF(H69="","",IF(LEN(H69)&lt;=300,"OK","Too long"))</f>
        <v/>
      </c>
    </row>
    <row r="70" customFormat="false" ht="15" hidden="false" customHeight="false" outlineLevel="0" collapsed="false">
      <c r="A70" s="5" t="n">
        <v>59</v>
      </c>
      <c r="B70" s="10"/>
      <c r="C70" s="10"/>
      <c r="D70" s="10"/>
      <c r="E70" s="10"/>
      <c r="F70" s="10"/>
      <c r="G70" s="10"/>
      <c r="H70" s="23"/>
      <c r="I70" s="5" t="str">
        <f aca="false">IF(H70="","",LEN(H70))</f>
        <v/>
      </c>
      <c r="J70" s="5" t="str">
        <f aca="false">IF(H70="","",IF(LEN(H70)&lt;=300,"OK","Too long"))</f>
        <v/>
      </c>
    </row>
    <row r="71" customFormat="false" ht="15" hidden="false" customHeight="false" outlineLevel="0" collapsed="false">
      <c r="A71" s="5" t="n">
        <v>60</v>
      </c>
      <c r="B71" s="10"/>
      <c r="C71" s="10"/>
      <c r="D71" s="10"/>
      <c r="E71" s="10"/>
      <c r="F71" s="10"/>
      <c r="G71" s="10"/>
      <c r="H71" s="23"/>
      <c r="I71" s="5" t="str">
        <f aca="false">IF(H71="","",LEN(H71))</f>
        <v/>
      </c>
      <c r="J71" s="5" t="str">
        <f aca="false">IF(H71="","",IF(LEN(H71)&lt;=300,"OK","Too long"))</f>
        <v/>
      </c>
    </row>
    <row r="72" customFormat="false" ht="15" hidden="false" customHeight="false" outlineLevel="0" collapsed="false">
      <c r="A72" s="5" t="n">
        <v>61</v>
      </c>
      <c r="B72" s="10"/>
      <c r="C72" s="10"/>
      <c r="D72" s="10"/>
      <c r="E72" s="10"/>
      <c r="F72" s="10"/>
      <c r="G72" s="10"/>
      <c r="H72" s="23"/>
      <c r="I72" s="5" t="str">
        <f aca="false">IF(H72="","",LEN(H72))</f>
        <v/>
      </c>
      <c r="J72" s="5" t="str">
        <f aca="false">IF(H72="","",IF(LEN(H72)&lt;=300,"OK","Too long"))</f>
        <v/>
      </c>
    </row>
    <row r="73" customFormat="false" ht="15" hidden="false" customHeight="false" outlineLevel="0" collapsed="false">
      <c r="A73" s="5" t="n">
        <v>62</v>
      </c>
      <c r="B73" s="10"/>
      <c r="C73" s="10"/>
      <c r="D73" s="10"/>
      <c r="E73" s="10"/>
      <c r="F73" s="10"/>
      <c r="G73" s="10"/>
      <c r="H73" s="23"/>
      <c r="I73" s="5" t="str">
        <f aca="false">IF(H73="","",LEN(H73))</f>
        <v/>
      </c>
      <c r="J73" s="5" t="str">
        <f aca="false">IF(H73="","",IF(LEN(H73)&lt;=300,"OK","Too long"))</f>
        <v/>
      </c>
    </row>
    <row r="74" customFormat="false" ht="15" hidden="false" customHeight="false" outlineLevel="0" collapsed="false">
      <c r="A74" s="5" t="n">
        <v>63</v>
      </c>
      <c r="B74" s="10"/>
      <c r="C74" s="10"/>
      <c r="D74" s="10"/>
      <c r="E74" s="10"/>
      <c r="F74" s="10"/>
      <c r="G74" s="10"/>
      <c r="H74" s="23"/>
      <c r="I74" s="5" t="str">
        <f aca="false">IF(H74="","",LEN(H74))</f>
        <v/>
      </c>
      <c r="J74" s="5" t="str">
        <f aca="false">IF(H74="","",IF(LEN(H74)&lt;=300,"OK","Too long"))</f>
        <v/>
      </c>
    </row>
    <row r="75" customFormat="false" ht="15" hidden="false" customHeight="false" outlineLevel="0" collapsed="false">
      <c r="A75" s="5" t="n">
        <v>64</v>
      </c>
      <c r="B75" s="10"/>
      <c r="C75" s="10"/>
      <c r="D75" s="10"/>
      <c r="E75" s="10"/>
      <c r="F75" s="10"/>
      <c r="G75" s="10"/>
      <c r="H75" s="23"/>
      <c r="I75" s="5" t="str">
        <f aca="false">IF(H75="","",LEN(H75))</f>
        <v/>
      </c>
      <c r="J75" s="5" t="str">
        <f aca="false">IF(H75="","",IF(LEN(H75)&lt;=300,"OK","Too long"))</f>
        <v/>
      </c>
    </row>
    <row r="76" customFormat="false" ht="15" hidden="false" customHeight="false" outlineLevel="0" collapsed="false">
      <c r="A76" s="5" t="n">
        <v>65</v>
      </c>
      <c r="B76" s="10"/>
      <c r="C76" s="10"/>
      <c r="D76" s="10"/>
      <c r="E76" s="10"/>
      <c r="F76" s="10"/>
      <c r="G76" s="10"/>
      <c r="H76" s="23"/>
      <c r="I76" s="5" t="str">
        <f aca="false">IF(H76="","",LEN(H76))</f>
        <v/>
      </c>
      <c r="J76" s="5" t="str">
        <f aca="false">IF(H76="","",IF(LEN(H76)&lt;=300,"OK","Too long"))</f>
        <v/>
      </c>
    </row>
    <row r="77" customFormat="false" ht="15" hidden="false" customHeight="false" outlineLevel="0" collapsed="false">
      <c r="A77" s="5" t="n">
        <v>66</v>
      </c>
      <c r="B77" s="10"/>
      <c r="C77" s="10"/>
      <c r="D77" s="10"/>
      <c r="E77" s="10"/>
      <c r="F77" s="10"/>
      <c r="G77" s="10"/>
      <c r="H77" s="23"/>
      <c r="I77" s="5" t="str">
        <f aca="false">IF(H77="","",LEN(H77))</f>
        <v/>
      </c>
      <c r="J77" s="5" t="str">
        <f aca="false">IF(H77="","",IF(LEN(H77)&lt;=300,"OK","Too long"))</f>
        <v/>
      </c>
    </row>
    <row r="78" customFormat="false" ht="15" hidden="false" customHeight="false" outlineLevel="0" collapsed="false">
      <c r="A78" s="5" t="n">
        <v>67</v>
      </c>
      <c r="B78" s="10"/>
      <c r="C78" s="10"/>
      <c r="D78" s="10"/>
      <c r="E78" s="10"/>
      <c r="F78" s="10"/>
      <c r="G78" s="10"/>
      <c r="H78" s="23"/>
      <c r="I78" s="5" t="str">
        <f aca="false">IF(H78="","",LEN(H78))</f>
        <v/>
      </c>
      <c r="J78" s="5" t="str">
        <f aca="false">IF(H78="","",IF(LEN(H78)&lt;=300,"OK","Too long"))</f>
        <v/>
      </c>
    </row>
    <row r="79" customFormat="false" ht="15" hidden="false" customHeight="false" outlineLevel="0" collapsed="false">
      <c r="A79" s="5" t="n">
        <v>68</v>
      </c>
      <c r="B79" s="10"/>
      <c r="C79" s="10"/>
      <c r="D79" s="10"/>
      <c r="E79" s="10"/>
      <c r="F79" s="10"/>
      <c r="G79" s="10"/>
      <c r="H79" s="23"/>
      <c r="I79" s="5" t="str">
        <f aca="false">IF(H79="","",LEN(H79))</f>
        <v/>
      </c>
      <c r="J79" s="5" t="str">
        <f aca="false">IF(H79="","",IF(LEN(H79)&lt;=300,"OK","Too long"))</f>
        <v/>
      </c>
    </row>
    <row r="80" customFormat="false" ht="15" hidden="false" customHeight="false" outlineLevel="0" collapsed="false">
      <c r="A80" s="5" t="n">
        <v>69</v>
      </c>
      <c r="B80" s="10"/>
      <c r="C80" s="10"/>
      <c r="D80" s="10"/>
      <c r="E80" s="10"/>
      <c r="F80" s="10"/>
      <c r="G80" s="10"/>
      <c r="H80" s="23"/>
      <c r="I80" s="5" t="str">
        <f aca="false">IF(H80="","",LEN(H80))</f>
        <v/>
      </c>
      <c r="J80" s="5" t="str">
        <f aca="false">IF(H80="","",IF(LEN(H80)&lt;=300,"OK","Too long"))</f>
        <v/>
      </c>
    </row>
    <row r="81" customFormat="false" ht="15" hidden="false" customHeight="false" outlineLevel="0" collapsed="false">
      <c r="A81" s="5" t="n">
        <v>70</v>
      </c>
      <c r="B81" s="10"/>
      <c r="C81" s="10"/>
      <c r="D81" s="10"/>
      <c r="E81" s="10"/>
      <c r="F81" s="10"/>
      <c r="G81" s="10"/>
      <c r="H81" s="23"/>
      <c r="I81" s="5" t="str">
        <f aca="false">IF(H81="","",LEN(H81))</f>
        <v/>
      </c>
      <c r="J81" s="5" t="str">
        <f aca="false">IF(H81="","",IF(LEN(H81)&lt;=300,"OK","Too long"))</f>
        <v/>
      </c>
    </row>
    <row r="82" customFormat="false" ht="15" hidden="false" customHeight="false" outlineLevel="0" collapsed="false">
      <c r="A82" s="5" t="n">
        <v>71</v>
      </c>
      <c r="B82" s="10"/>
      <c r="C82" s="10"/>
      <c r="D82" s="10"/>
      <c r="E82" s="10"/>
      <c r="F82" s="10"/>
      <c r="G82" s="10"/>
      <c r="H82" s="23"/>
      <c r="I82" s="5" t="str">
        <f aca="false">IF(H82="","",LEN(H82))</f>
        <v/>
      </c>
      <c r="J82" s="5" t="str">
        <f aca="false">IF(H82="","",IF(LEN(H82)&lt;=300,"OK","Too long"))</f>
        <v/>
      </c>
    </row>
    <row r="83" customFormat="false" ht="15" hidden="false" customHeight="false" outlineLevel="0" collapsed="false">
      <c r="A83" s="5" t="n">
        <v>72</v>
      </c>
      <c r="B83" s="10"/>
      <c r="C83" s="10"/>
      <c r="D83" s="10"/>
      <c r="E83" s="10"/>
      <c r="F83" s="10"/>
      <c r="G83" s="10"/>
      <c r="H83" s="23"/>
      <c r="I83" s="5" t="str">
        <f aca="false">IF(H83="","",LEN(H83))</f>
        <v/>
      </c>
      <c r="J83" s="5" t="str">
        <f aca="false">IF(H83="","",IF(LEN(H83)&lt;=300,"OK","Too long"))</f>
        <v/>
      </c>
    </row>
    <row r="84" customFormat="false" ht="15" hidden="false" customHeight="false" outlineLevel="0" collapsed="false">
      <c r="A84" s="5" t="n">
        <v>73</v>
      </c>
      <c r="B84" s="10"/>
      <c r="C84" s="10"/>
      <c r="D84" s="10"/>
      <c r="E84" s="10"/>
      <c r="F84" s="10"/>
      <c r="G84" s="10"/>
      <c r="H84" s="23"/>
      <c r="I84" s="5" t="str">
        <f aca="false">IF(H84="","",LEN(H84))</f>
        <v/>
      </c>
      <c r="J84" s="5" t="str">
        <f aca="false">IF(H84="","",IF(LEN(H84)&lt;=300,"OK","Too long"))</f>
        <v/>
      </c>
    </row>
    <row r="85" customFormat="false" ht="15" hidden="false" customHeight="false" outlineLevel="0" collapsed="false">
      <c r="A85" s="5" t="n">
        <v>74</v>
      </c>
      <c r="B85" s="10"/>
      <c r="C85" s="10"/>
      <c r="D85" s="10"/>
      <c r="E85" s="10"/>
      <c r="F85" s="10"/>
      <c r="G85" s="10"/>
      <c r="H85" s="23"/>
      <c r="I85" s="5" t="str">
        <f aca="false">IF(H85="","",LEN(H85))</f>
        <v/>
      </c>
      <c r="J85" s="5" t="str">
        <f aca="false">IF(H85="","",IF(LEN(H85)&lt;=300,"OK","Too long"))</f>
        <v/>
      </c>
    </row>
    <row r="86" customFormat="false" ht="15" hidden="false" customHeight="false" outlineLevel="0" collapsed="false">
      <c r="A86" s="5" t="n">
        <v>75</v>
      </c>
      <c r="B86" s="10"/>
      <c r="C86" s="10"/>
      <c r="D86" s="10"/>
      <c r="E86" s="10"/>
      <c r="F86" s="10"/>
      <c r="G86" s="10"/>
      <c r="H86" s="23"/>
      <c r="I86" s="5" t="str">
        <f aca="false">IF(H86="","",LEN(H86))</f>
        <v/>
      </c>
      <c r="J86" s="5" t="str">
        <f aca="false">IF(H86="","",IF(LEN(H86)&lt;=300,"OK","Too long"))</f>
        <v/>
      </c>
    </row>
    <row r="87" customFormat="false" ht="15" hidden="false" customHeight="false" outlineLevel="0" collapsed="false">
      <c r="A87" s="5" t="n">
        <v>76</v>
      </c>
      <c r="B87" s="10"/>
      <c r="C87" s="10"/>
      <c r="D87" s="10"/>
      <c r="E87" s="10"/>
      <c r="F87" s="10"/>
      <c r="G87" s="10"/>
      <c r="H87" s="23"/>
      <c r="I87" s="5" t="str">
        <f aca="false">IF(H87="","",LEN(H87))</f>
        <v/>
      </c>
      <c r="J87" s="5" t="str">
        <f aca="false">IF(H87="","",IF(LEN(H87)&lt;=300,"OK","Too long"))</f>
        <v/>
      </c>
    </row>
    <row r="88" customFormat="false" ht="15" hidden="false" customHeight="false" outlineLevel="0" collapsed="false">
      <c r="A88" s="5" t="n">
        <v>77</v>
      </c>
      <c r="B88" s="10"/>
      <c r="C88" s="10"/>
      <c r="D88" s="10"/>
      <c r="E88" s="10"/>
      <c r="F88" s="10"/>
      <c r="G88" s="10"/>
      <c r="H88" s="23"/>
      <c r="I88" s="5" t="str">
        <f aca="false">IF(H88="","",LEN(H88))</f>
        <v/>
      </c>
      <c r="J88" s="5" t="str">
        <f aca="false">IF(H88="","",IF(LEN(H88)&lt;=300,"OK","Too long"))</f>
        <v/>
      </c>
    </row>
    <row r="89" customFormat="false" ht="15" hidden="false" customHeight="false" outlineLevel="0" collapsed="false">
      <c r="A89" s="5" t="n">
        <v>78</v>
      </c>
      <c r="B89" s="10"/>
      <c r="C89" s="10"/>
      <c r="D89" s="10"/>
      <c r="E89" s="10"/>
      <c r="F89" s="10"/>
      <c r="G89" s="10"/>
      <c r="H89" s="23"/>
      <c r="I89" s="5" t="str">
        <f aca="false">IF(H89="","",LEN(H89))</f>
        <v/>
      </c>
      <c r="J89" s="5" t="str">
        <f aca="false">IF(H89="","",IF(LEN(H89)&lt;=300,"OK","Too long"))</f>
        <v/>
      </c>
    </row>
    <row r="90" customFormat="false" ht="15" hidden="false" customHeight="false" outlineLevel="0" collapsed="false">
      <c r="A90" s="5" t="n">
        <v>79</v>
      </c>
      <c r="B90" s="10"/>
      <c r="C90" s="10"/>
      <c r="D90" s="10"/>
      <c r="E90" s="10"/>
      <c r="F90" s="10"/>
      <c r="G90" s="10"/>
      <c r="H90" s="23"/>
      <c r="I90" s="5" t="str">
        <f aca="false">IF(H90="","",LEN(H90))</f>
        <v/>
      </c>
      <c r="J90" s="5" t="str">
        <f aca="false">IF(H90="","",IF(LEN(H90)&lt;=300,"OK","Too long"))</f>
        <v/>
      </c>
    </row>
    <row r="91" customFormat="false" ht="15" hidden="false" customHeight="false" outlineLevel="0" collapsed="false">
      <c r="A91" s="5" t="n">
        <v>80</v>
      </c>
      <c r="B91" s="10"/>
      <c r="C91" s="10"/>
      <c r="D91" s="10"/>
      <c r="E91" s="10"/>
      <c r="F91" s="10"/>
      <c r="G91" s="10"/>
      <c r="H91" s="23"/>
      <c r="I91" s="5" t="str">
        <f aca="false">IF(H91="","",LEN(H91))</f>
        <v/>
      </c>
      <c r="J91" s="5" t="str">
        <f aca="false">IF(H91="","",IF(LEN(H91)&lt;=300,"OK","Too long"))</f>
        <v/>
      </c>
    </row>
    <row r="92" customFormat="false" ht="15" hidden="false" customHeight="false" outlineLevel="0" collapsed="false">
      <c r="A92" s="5" t="n">
        <v>81</v>
      </c>
      <c r="B92" s="10"/>
      <c r="C92" s="10"/>
      <c r="D92" s="10"/>
      <c r="E92" s="10"/>
      <c r="F92" s="10"/>
      <c r="G92" s="10"/>
      <c r="H92" s="23"/>
      <c r="I92" s="5" t="str">
        <f aca="false">IF(H92="","",LEN(H92))</f>
        <v/>
      </c>
      <c r="J92" s="5" t="str">
        <f aca="false">IF(H92="","",IF(LEN(H92)&lt;=300,"OK","Too long"))</f>
        <v/>
      </c>
    </row>
    <row r="93" customFormat="false" ht="15" hidden="false" customHeight="false" outlineLevel="0" collapsed="false">
      <c r="A93" s="5" t="n">
        <v>82</v>
      </c>
      <c r="B93" s="10"/>
      <c r="C93" s="10"/>
      <c r="D93" s="10"/>
      <c r="E93" s="10"/>
      <c r="F93" s="10"/>
      <c r="G93" s="10"/>
      <c r="H93" s="23"/>
      <c r="I93" s="5" t="str">
        <f aca="false">IF(H93="","",LEN(H93))</f>
        <v/>
      </c>
      <c r="J93" s="5" t="str">
        <f aca="false">IF(H93="","",IF(LEN(H93)&lt;=300,"OK","Too long"))</f>
        <v/>
      </c>
    </row>
    <row r="94" customFormat="false" ht="15" hidden="false" customHeight="false" outlineLevel="0" collapsed="false">
      <c r="A94" s="5" t="n">
        <v>83</v>
      </c>
      <c r="B94" s="10"/>
      <c r="C94" s="10"/>
      <c r="D94" s="10"/>
      <c r="E94" s="10"/>
      <c r="F94" s="10"/>
      <c r="G94" s="10"/>
      <c r="H94" s="23"/>
      <c r="I94" s="5" t="str">
        <f aca="false">IF(H94="","",LEN(H94))</f>
        <v/>
      </c>
      <c r="J94" s="5" t="str">
        <f aca="false">IF(H94="","",IF(LEN(H94)&lt;=300,"OK","Too long"))</f>
        <v/>
      </c>
    </row>
    <row r="95" customFormat="false" ht="15" hidden="false" customHeight="false" outlineLevel="0" collapsed="false">
      <c r="A95" s="5" t="n">
        <v>84</v>
      </c>
      <c r="B95" s="10"/>
      <c r="C95" s="10"/>
      <c r="D95" s="10"/>
      <c r="E95" s="10"/>
      <c r="F95" s="10"/>
      <c r="G95" s="10"/>
      <c r="H95" s="23"/>
      <c r="I95" s="5" t="str">
        <f aca="false">IF(H95="","",LEN(H95))</f>
        <v/>
      </c>
      <c r="J95" s="5" t="str">
        <f aca="false">IF(H95="","",IF(LEN(H95)&lt;=300,"OK","Too long"))</f>
        <v/>
      </c>
    </row>
    <row r="96" customFormat="false" ht="15" hidden="false" customHeight="false" outlineLevel="0" collapsed="false">
      <c r="A96" s="5" t="n">
        <v>85</v>
      </c>
      <c r="B96" s="10"/>
      <c r="C96" s="10"/>
      <c r="D96" s="10"/>
      <c r="E96" s="10"/>
      <c r="F96" s="10"/>
      <c r="G96" s="10"/>
      <c r="H96" s="23"/>
      <c r="I96" s="5" t="str">
        <f aca="false">IF(H96="","",LEN(H96))</f>
        <v/>
      </c>
      <c r="J96" s="5" t="str">
        <f aca="false">IF(H96="","",IF(LEN(H96)&lt;=300,"OK","Too long"))</f>
        <v/>
      </c>
    </row>
    <row r="97" customFormat="false" ht="15" hidden="false" customHeight="false" outlineLevel="0" collapsed="false">
      <c r="A97" s="5" t="n">
        <v>86</v>
      </c>
      <c r="B97" s="10"/>
      <c r="C97" s="10"/>
      <c r="D97" s="10"/>
      <c r="E97" s="10"/>
      <c r="F97" s="10"/>
      <c r="G97" s="10"/>
      <c r="H97" s="23"/>
      <c r="I97" s="5" t="str">
        <f aca="false">IF(H97="","",LEN(H97))</f>
        <v/>
      </c>
      <c r="J97" s="5" t="str">
        <f aca="false">IF(H97="","",IF(LEN(H97)&lt;=300,"OK","Too long"))</f>
        <v/>
      </c>
    </row>
    <row r="98" customFormat="false" ht="15" hidden="false" customHeight="false" outlineLevel="0" collapsed="false">
      <c r="A98" s="5" t="n">
        <v>87</v>
      </c>
      <c r="B98" s="10"/>
      <c r="C98" s="10"/>
      <c r="D98" s="10"/>
      <c r="E98" s="10"/>
      <c r="F98" s="10"/>
      <c r="G98" s="10"/>
      <c r="H98" s="23"/>
      <c r="I98" s="5" t="str">
        <f aca="false">IF(H98="","",LEN(H98))</f>
        <v/>
      </c>
      <c r="J98" s="5" t="str">
        <f aca="false">IF(H98="","",IF(LEN(H98)&lt;=300,"OK","Too long"))</f>
        <v/>
      </c>
    </row>
    <row r="99" customFormat="false" ht="15" hidden="false" customHeight="false" outlineLevel="0" collapsed="false">
      <c r="A99" s="5" t="n">
        <v>88</v>
      </c>
      <c r="B99" s="10"/>
      <c r="C99" s="10"/>
      <c r="D99" s="10"/>
      <c r="E99" s="10"/>
      <c r="F99" s="10"/>
      <c r="G99" s="10"/>
      <c r="H99" s="23"/>
      <c r="I99" s="5" t="str">
        <f aca="false">IF(H99="","",LEN(H99))</f>
        <v/>
      </c>
      <c r="J99" s="5" t="str">
        <f aca="false">IF(H99="","",IF(LEN(H99)&lt;=300,"OK","Too long"))</f>
        <v/>
      </c>
    </row>
    <row r="100" customFormat="false" ht="15" hidden="false" customHeight="false" outlineLevel="0" collapsed="false">
      <c r="A100" s="5" t="n">
        <v>89</v>
      </c>
      <c r="B100" s="10"/>
      <c r="C100" s="10"/>
      <c r="D100" s="10"/>
      <c r="E100" s="10"/>
      <c r="F100" s="10"/>
      <c r="G100" s="10"/>
      <c r="H100" s="23"/>
      <c r="I100" s="5" t="str">
        <f aca="false">IF(H100="","",LEN(H100))</f>
        <v/>
      </c>
      <c r="J100" s="5" t="str">
        <f aca="false">IF(H100="","",IF(LEN(H100)&lt;=300,"OK","Too long"))</f>
        <v/>
      </c>
    </row>
    <row r="101" customFormat="false" ht="15" hidden="false" customHeight="false" outlineLevel="0" collapsed="false">
      <c r="A101" s="5" t="n">
        <v>90</v>
      </c>
      <c r="B101" s="10"/>
      <c r="C101" s="10"/>
      <c r="D101" s="10"/>
      <c r="E101" s="10"/>
      <c r="F101" s="10"/>
      <c r="G101" s="10"/>
      <c r="H101" s="23"/>
      <c r="I101" s="5" t="str">
        <f aca="false">IF(H101="","",LEN(H101))</f>
        <v/>
      </c>
      <c r="J101" s="5" t="str">
        <f aca="false">IF(H101="","",IF(LEN(H101)&lt;=300,"OK","Too long"))</f>
        <v/>
      </c>
    </row>
    <row r="102" customFormat="false" ht="15" hidden="false" customHeight="false" outlineLevel="0" collapsed="false">
      <c r="A102" s="5" t="n">
        <v>91</v>
      </c>
      <c r="B102" s="10"/>
      <c r="C102" s="10"/>
      <c r="D102" s="10"/>
      <c r="E102" s="10"/>
      <c r="F102" s="10"/>
      <c r="G102" s="10"/>
      <c r="H102" s="23"/>
      <c r="I102" s="5" t="str">
        <f aca="false">IF(H102="","",LEN(H102))</f>
        <v/>
      </c>
      <c r="J102" s="5" t="str">
        <f aca="false">IF(H102="","",IF(LEN(H102)&lt;=300,"OK","Too long"))</f>
        <v/>
      </c>
    </row>
    <row r="103" customFormat="false" ht="15" hidden="false" customHeight="false" outlineLevel="0" collapsed="false">
      <c r="A103" s="5" t="n">
        <v>92</v>
      </c>
      <c r="B103" s="10"/>
      <c r="C103" s="10"/>
      <c r="D103" s="10"/>
      <c r="E103" s="10"/>
      <c r="F103" s="10"/>
      <c r="G103" s="10"/>
      <c r="H103" s="23"/>
      <c r="I103" s="5" t="str">
        <f aca="false">IF(H103="","",LEN(H103))</f>
        <v/>
      </c>
      <c r="J103" s="5" t="str">
        <f aca="false">IF(H103="","",IF(LEN(H103)&lt;=300,"OK","Too long"))</f>
        <v/>
      </c>
    </row>
    <row r="104" customFormat="false" ht="15" hidden="false" customHeight="false" outlineLevel="0" collapsed="false">
      <c r="A104" s="5" t="n">
        <v>93</v>
      </c>
      <c r="B104" s="10"/>
      <c r="C104" s="10"/>
      <c r="D104" s="10"/>
      <c r="E104" s="10"/>
      <c r="F104" s="10"/>
      <c r="G104" s="10"/>
      <c r="H104" s="23"/>
      <c r="I104" s="5" t="str">
        <f aca="false">IF(H104="","",LEN(H104))</f>
        <v/>
      </c>
      <c r="J104" s="5" t="str">
        <f aca="false">IF(H104="","",IF(LEN(H104)&lt;=300,"OK","Too long"))</f>
        <v/>
      </c>
    </row>
    <row r="105" customFormat="false" ht="15" hidden="false" customHeight="false" outlineLevel="0" collapsed="false">
      <c r="A105" s="5" t="n">
        <v>94</v>
      </c>
      <c r="B105" s="10"/>
      <c r="C105" s="10"/>
      <c r="D105" s="10"/>
      <c r="E105" s="10"/>
      <c r="F105" s="10"/>
      <c r="G105" s="10"/>
      <c r="H105" s="23"/>
      <c r="I105" s="5" t="str">
        <f aca="false">IF(H105="","",LEN(H105))</f>
        <v/>
      </c>
      <c r="J105" s="5" t="str">
        <f aca="false">IF(H105="","",IF(LEN(H105)&lt;=300,"OK","Too long"))</f>
        <v/>
      </c>
    </row>
    <row r="106" customFormat="false" ht="15" hidden="false" customHeight="false" outlineLevel="0" collapsed="false">
      <c r="A106" s="5" t="n">
        <v>95</v>
      </c>
      <c r="B106" s="10"/>
      <c r="C106" s="10"/>
      <c r="D106" s="10"/>
      <c r="E106" s="10"/>
      <c r="F106" s="10"/>
      <c r="G106" s="10"/>
      <c r="H106" s="23"/>
      <c r="I106" s="5" t="str">
        <f aca="false">IF(H106="","",LEN(H106))</f>
        <v/>
      </c>
      <c r="J106" s="5" t="str">
        <f aca="false">IF(H106="","",IF(LEN(H106)&lt;=300,"OK","Too long"))</f>
        <v/>
      </c>
    </row>
    <row r="107" customFormat="false" ht="15" hidden="false" customHeight="false" outlineLevel="0" collapsed="false">
      <c r="A107" s="5" t="n">
        <v>96</v>
      </c>
      <c r="B107" s="10"/>
      <c r="C107" s="10"/>
      <c r="D107" s="10"/>
      <c r="E107" s="10"/>
      <c r="F107" s="10"/>
      <c r="G107" s="10"/>
      <c r="H107" s="23"/>
      <c r="I107" s="5" t="str">
        <f aca="false">IF(H107="","",LEN(H107))</f>
        <v/>
      </c>
      <c r="J107" s="5" t="str">
        <f aca="false">IF(H107="","",IF(LEN(H107)&lt;=300,"OK","Too long"))</f>
        <v/>
      </c>
    </row>
    <row r="108" customFormat="false" ht="15" hidden="false" customHeight="false" outlineLevel="0" collapsed="false">
      <c r="A108" s="5" t="n">
        <v>97</v>
      </c>
      <c r="B108" s="10"/>
      <c r="C108" s="10"/>
      <c r="D108" s="10"/>
      <c r="E108" s="10"/>
      <c r="F108" s="10"/>
      <c r="G108" s="10"/>
      <c r="H108" s="23"/>
      <c r="I108" s="5" t="str">
        <f aca="false">IF(H108="","",LEN(H108))</f>
        <v/>
      </c>
      <c r="J108" s="5" t="str">
        <f aca="false">IF(H108="","",IF(LEN(H108)&lt;=300,"OK","Too long"))</f>
        <v/>
      </c>
    </row>
    <row r="109" customFormat="false" ht="15" hidden="false" customHeight="false" outlineLevel="0" collapsed="false">
      <c r="A109" s="5" t="n">
        <v>98</v>
      </c>
      <c r="B109" s="10"/>
      <c r="C109" s="10"/>
      <c r="D109" s="10"/>
      <c r="E109" s="10"/>
      <c r="F109" s="10"/>
      <c r="G109" s="10"/>
      <c r="H109" s="23"/>
      <c r="I109" s="5" t="str">
        <f aca="false">IF(H109="","",LEN(H109))</f>
        <v/>
      </c>
      <c r="J109" s="5" t="str">
        <f aca="false">IF(H109="","",IF(LEN(H109)&lt;=300,"OK","Too long"))</f>
        <v/>
      </c>
    </row>
    <row r="110" customFormat="false" ht="15" hidden="false" customHeight="false" outlineLevel="0" collapsed="false">
      <c r="A110" s="5" t="n">
        <v>99</v>
      </c>
      <c r="B110" s="10"/>
      <c r="C110" s="10"/>
      <c r="D110" s="10"/>
      <c r="E110" s="10"/>
      <c r="F110" s="10"/>
      <c r="G110" s="10"/>
      <c r="H110" s="23"/>
      <c r="I110" s="5" t="str">
        <f aca="false">IF(H110="","",LEN(H110))</f>
        <v/>
      </c>
      <c r="J110" s="5" t="str">
        <f aca="false">IF(H110="","",IF(LEN(H110)&lt;=300,"OK","Too long"))</f>
        <v/>
      </c>
    </row>
  </sheetData>
  <conditionalFormatting sqref="C5">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"Waiting on client"</formula>
    </cfRule>
    <cfRule type="cellIs" priority="5" operator="equal" aboveAverage="0" equalAverage="0" bottom="0" percent="0" rank="0" text="" dxfId="3">
      <formula>"N/A"</formula>
    </cfRule>
    <cfRule type="cellIs" priority="6" operator="equal" aboveAverage="0" equalAverage="0" bottom="0" percent="0" rank="0" text="" dxfId="0">
      <formula>"Live"</formula>
    </cfRule>
    <cfRule type="cellIs" priority="7" operator="equal" aboveAverage="0" equalAverage="0" bottom="0" percent="0" rank="0" text="" dxfId="0">
      <formula>"Pass"</formula>
    </cfRule>
    <cfRule type="cellIs" priority="8" operator="equal" aboveAverage="0" equalAverage="0" bottom="0" percent="0" rank="0" text="" dxfId="0">
      <formula>"OK"</formula>
    </cfRule>
    <cfRule type="expression" priority="9" aboveAverage="0" equalAverage="0" bottom="0" percent="0" rank="0" text="" dxfId="4">
      <formula>OR(LEFT(C5,4)="Fail",LEFT(C5,6)="Behind",LEFT(C5,4)="Need",LEFT(C5,3)="Too",LEFT(C5,3)="Add",LEFT(C5,4)="Trim")</formula>
    </cfRule>
  </conditionalFormatting>
  <conditionalFormatting sqref="J12:J110">
    <cfRule type="cellIs" priority="10" operator="equal" aboveAverage="0" equalAverage="0" bottom="0" percent="0" rank="0" text="" dxfId="0">
      <formula>"Done"</formula>
    </cfRule>
    <cfRule type="cellIs" priority="11" operator="equal" aboveAverage="0" equalAverage="0" bottom="0" percent="0" rank="0" text="" dxfId="1">
      <formula>"In progress"</formula>
    </cfRule>
    <cfRule type="cellIs" priority="12" operator="equal" aboveAverage="0" equalAverage="0" bottom="0" percent="0" rank="0" text="" dxfId="2">
      <formula>"Waiting on client"</formula>
    </cfRule>
    <cfRule type="cellIs" priority="13" operator="equal" aboveAverage="0" equalAverage="0" bottom="0" percent="0" rank="0" text="" dxfId="3">
      <formula>"N/A"</formula>
    </cfRule>
    <cfRule type="cellIs" priority="14" operator="equal" aboveAverage="0" equalAverage="0" bottom="0" percent="0" rank="0" text="" dxfId="0">
      <formula>"Live"</formula>
    </cfRule>
    <cfRule type="cellIs" priority="15" operator="equal" aboveAverage="0" equalAverage="0" bottom="0" percent="0" rank="0" text="" dxfId="0">
      <formula>"Pass"</formula>
    </cfRule>
    <cfRule type="cellIs" priority="16" operator="equal" aboveAverage="0" equalAverage="0" bottom="0" percent="0" rank="0" text="" dxfId="0">
      <formula>"OK"</formula>
    </cfRule>
    <cfRule type="expression" priority="17" aboveAverage="0" equalAverage="0" bottom="0" percent="0" rank="0" text="" dxfId="4">
      <formula>OR(LEFT(J12,4)="Fail",LEFT(J12,6)="Behind",LEFT(J12,4)="Need",LEFT(J12,3)="Too",LEFT(J12,3)="Add",LEFT(J12,4)="Trim")</formula>
    </cfRule>
  </conditionalFormatting>
  <dataValidations count="3">
    <dataValidation allowBlank="true" error="Pick an option from the list." errorStyle="stop" errorTitle="Invalid value" operator="between" showDropDown="false" showErrorMessage="false" showInputMessage="false" sqref="E12:E110" type="list">
      <formula1>"Yes,No,Ask client"</formula1>
      <formula2>0</formula2>
    </dataValidation>
    <dataValidation allowBlank="true" error="Pick an option from the list." errorStyle="stop" errorTitle="Invalid value" operator="between" showDropDown="false" showErrorMessage="false" showInputMessage="false" sqref="F12:G110" type="list">
      <formula1>"Yes,No"</formula1>
      <formula2>0</formula2>
    </dataValidation>
    <dataValidation allowBlank="true" error="Pick an option from the list." errorStyle="stop" errorTitle="Invalid value" operator="between" showDropDown="false" showErrorMessage="false" showInputMessage="false" sqref="D12:D110" type="list">
      <formula1>"Client,Competitors,GMB Everywhere,AI"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O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34"/>
    <col collapsed="false" customWidth="true" hidden="false" outlineLevel="0" max="4" min="4" style="0" width="30"/>
    <col collapsed="false" customWidth="true" hidden="false" outlineLevel="0" max="5" min="5" style="0" width="26"/>
    <col collapsed="false" customWidth="true" hidden="false" outlineLevel="0" max="7" min="6" style="0" width="10"/>
    <col collapsed="false" customWidth="true" hidden="false" outlineLevel="0" max="8" min="8" style="0" width="12"/>
    <col collapsed="false" customWidth="true" hidden="false" outlineLevel="0" max="11" min="9" style="0" width="10"/>
    <col collapsed="false" customWidth="true" hidden="false" outlineLevel="0" max="12" min="12" style="0" width="22"/>
    <col collapsed="false" customWidth="true" hidden="false" outlineLevel="0" max="13" min="13" style="0" width="14"/>
    <col collapsed="false" customWidth="true" hidden="false" outlineLevel="0" max="14" min="14" style="0" width="10"/>
    <col collapsed="false" customWidth="true" hidden="false" outlineLevel="0" max="15" min="15" style="0" width="28"/>
  </cols>
  <sheetData>
    <row r="1" customFormat="false" ht="27.75" hidden="false" customHeight="true" outlineLevel="0" collapsed="false">
      <c r="A1" s="1" t="s">
        <v>373</v>
      </c>
    </row>
    <row r="2" customFormat="false" ht="15" hidden="false" customHeight="false" outlineLevel="0" collapsed="false">
      <c r="A2" s="2" t="s">
        <v>374</v>
      </c>
    </row>
    <row r="4" customFormat="false" ht="30" hidden="false" customHeight="true" outlineLevel="0" collapsed="false">
      <c r="A4" s="8" t="s">
        <v>265</v>
      </c>
      <c r="B4" s="8" t="s">
        <v>375</v>
      </c>
      <c r="C4" s="8" t="s">
        <v>376</v>
      </c>
      <c r="D4" s="8" t="s">
        <v>377</v>
      </c>
      <c r="E4" s="8" t="s">
        <v>378</v>
      </c>
      <c r="F4" s="8" t="s">
        <v>379</v>
      </c>
      <c r="G4" s="8" t="s">
        <v>380</v>
      </c>
      <c r="H4" s="8" t="s">
        <v>368</v>
      </c>
      <c r="I4" s="8" t="s">
        <v>381</v>
      </c>
      <c r="J4" s="8" t="s">
        <v>382</v>
      </c>
      <c r="K4" s="8" t="s">
        <v>383</v>
      </c>
      <c r="L4" s="8" t="s">
        <v>384</v>
      </c>
      <c r="M4" s="8" t="s">
        <v>52</v>
      </c>
      <c r="N4" s="8" t="s">
        <v>385</v>
      </c>
      <c r="O4" s="8" t="s">
        <v>90</v>
      </c>
    </row>
    <row r="5" customFormat="false" ht="15" hidden="false" customHeight="false" outlineLevel="0" collapsed="false">
      <c r="A5" s="5" t="n">
        <v>1</v>
      </c>
      <c r="B5" s="10" t="s">
        <v>386</v>
      </c>
      <c r="C5" s="27" t="s">
        <v>387</v>
      </c>
      <c r="D5" s="10"/>
      <c r="E5" s="10"/>
      <c r="F5" s="13"/>
      <c r="G5" s="10"/>
      <c r="H5" s="5" t="str">
        <f aca="false">IF(OR(G5="",F5=""),"",IF(G5&gt;=F5,"OK","Too short"))</f>
        <v/>
      </c>
      <c r="I5" s="10"/>
      <c r="J5" s="10"/>
      <c r="K5" s="10"/>
      <c r="L5" s="5" t="str">
        <f aca="false">IF(K5="","",IF(K5&gt;10,"Too many links",IF(B5="Service page",IF(AND(I5&gt;=2,I5&lt;=4),"OK","Need 2–4 area links"),IF(B5="Area page",IF(AND(J5&gt;=3,J5&lt;=6),"OK","Need 3–6 service links"),"OK"))))</f>
        <v/>
      </c>
      <c r="M5" s="10"/>
      <c r="N5" s="10"/>
      <c r="O5" s="10"/>
    </row>
    <row r="6" customFormat="false" ht="15" hidden="false" customHeight="false" outlineLevel="0" collapsed="false">
      <c r="A6" s="5" t="n">
        <v>2</v>
      </c>
      <c r="B6" s="10" t="s">
        <v>388</v>
      </c>
      <c r="C6" s="27" t="s">
        <v>389</v>
      </c>
      <c r="D6" s="10"/>
      <c r="E6" s="10"/>
      <c r="F6" s="13"/>
      <c r="G6" s="10"/>
      <c r="H6" s="5" t="str">
        <f aca="false">IF(OR(G6="",F6=""),"",IF(G6&gt;=F6,"OK","Too short"))</f>
        <v/>
      </c>
      <c r="I6" s="10"/>
      <c r="J6" s="10"/>
      <c r="K6" s="10"/>
      <c r="L6" s="5" t="str">
        <f aca="false">IF(K6="","",IF(K6&gt;10,"Too many links",IF(B6="Service page",IF(AND(I6&gt;=2,I6&lt;=4),"OK","Need 2–4 area links"),IF(B6="Area page",IF(AND(J6&gt;=3,J6&lt;=6),"OK","Need 3–6 service links"),"OK"))))</f>
        <v/>
      </c>
      <c r="M6" s="10"/>
      <c r="N6" s="10"/>
      <c r="O6" s="10"/>
    </row>
    <row r="7" customFormat="false" ht="15" hidden="false" customHeight="false" outlineLevel="0" collapsed="false">
      <c r="A7" s="5" t="n">
        <v>2</v>
      </c>
      <c r="B7" s="10" t="s">
        <v>390</v>
      </c>
      <c r="C7" s="27" t="s">
        <v>391</v>
      </c>
      <c r="D7" s="10"/>
      <c r="E7" s="10"/>
      <c r="F7" s="13" t="n">
        <v>1000</v>
      </c>
      <c r="G7" s="10"/>
      <c r="H7" s="5" t="str">
        <f aca="false">IF(OR(G7="",F7=""),"",IF(G7&gt;=F7,"OK","Too short"))</f>
        <v/>
      </c>
      <c r="I7" s="10"/>
      <c r="J7" s="10"/>
      <c r="K7" s="10"/>
      <c r="L7" s="5" t="str">
        <f aca="false">IF(K7="","",IF(K7&gt;10,"Too many links",IF(B7="Service page",IF(AND(I7&gt;=2,I7&lt;=4),"OK","Need 2–4 area links"),IF(B7="Area page",IF(AND(J7&gt;=3,J7&lt;=6),"OK","Need 3–6 service links"),"OK"))))</f>
        <v/>
      </c>
      <c r="M7" s="10"/>
      <c r="N7" s="10"/>
      <c r="O7" s="10"/>
    </row>
    <row r="8" customFormat="false" ht="15" hidden="false" customHeight="false" outlineLevel="0" collapsed="false">
      <c r="A8" s="5" t="n">
        <v>2</v>
      </c>
      <c r="B8" s="10" t="s">
        <v>390</v>
      </c>
      <c r="C8" s="27" t="s">
        <v>392</v>
      </c>
      <c r="D8" s="10"/>
      <c r="E8" s="10"/>
      <c r="F8" s="13" t="n">
        <v>1000</v>
      </c>
      <c r="G8" s="10"/>
      <c r="H8" s="5" t="str">
        <f aca="false">IF(OR(G8="",F8=""),"",IF(G8&gt;=F8,"OK","Too short"))</f>
        <v/>
      </c>
      <c r="I8" s="10"/>
      <c r="J8" s="10"/>
      <c r="K8" s="10"/>
      <c r="L8" s="5" t="str">
        <f aca="false">IF(K8="","",IF(K8&gt;10,"Too many links",IF(B8="Service page",IF(AND(I8&gt;=2,I8&lt;=4),"OK","Need 2–4 area links"),IF(B8="Area page",IF(AND(J8&gt;=3,J8&lt;=6),"OK","Need 3–6 service links"),"OK"))))</f>
        <v/>
      </c>
      <c r="M8" s="10"/>
      <c r="N8" s="10"/>
      <c r="O8" s="10"/>
    </row>
    <row r="9" customFormat="false" ht="15" hidden="false" customHeight="false" outlineLevel="0" collapsed="false">
      <c r="A9" s="5" t="n">
        <v>2</v>
      </c>
      <c r="B9" s="10" t="s">
        <v>390</v>
      </c>
      <c r="C9" s="27" t="s">
        <v>393</v>
      </c>
      <c r="D9" s="10"/>
      <c r="E9" s="10"/>
      <c r="F9" s="13" t="n">
        <v>1000</v>
      </c>
      <c r="G9" s="10"/>
      <c r="H9" s="5" t="str">
        <f aca="false">IF(OR(G9="",F9=""),"",IF(G9&gt;=F9,"OK","Too short"))</f>
        <v/>
      </c>
      <c r="I9" s="10"/>
      <c r="J9" s="10"/>
      <c r="K9" s="10"/>
      <c r="L9" s="5" t="str">
        <f aca="false">IF(K9="","",IF(K9&gt;10,"Too many links",IF(B9="Service page",IF(AND(I9&gt;=2,I9&lt;=4),"OK","Need 2–4 area links"),IF(B9="Area page",IF(AND(J9&gt;=3,J9&lt;=6),"OK","Need 3–6 service links"),"OK"))))</f>
        <v/>
      </c>
      <c r="M9" s="10"/>
      <c r="N9" s="10"/>
      <c r="O9" s="10"/>
    </row>
    <row r="10" customFormat="false" ht="15" hidden="false" customHeight="false" outlineLevel="0" collapsed="false">
      <c r="A10" s="5" t="n">
        <v>3</v>
      </c>
      <c r="B10" s="10" t="s">
        <v>394</v>
      </c>
      <c r="C10" s="27" t="s">
        <v>395</v>
      </c>
      <c r="D10" s="10"/>
      <c r="E10" s="10"/>
      <c r="F10" s="13" t="n">
        <v>1000</v>
      </c>
      <c r="G10" s="10"/>
      <c r="H10" s="5" t="str">
        <f aca="false">IF(OR(G10="",F10=""),"",IF(G10&gt;=F10,"OK","Too short"))</f>
        <v/>
      </c>
      <c r="I10" s="10"/>
      <c r="J10" s="10"/>
      <c r="K10" s="10"/>
      <c r="L10" s="5" t="str">
        <f aca="false">IF(K10="","",IF(K10&gt;10,"Too many links",IF(B10="Service page",IF(AND(I10&gt;=2,I10&lt;=4),"OK","Need 2–4 area links"),IF(B10="Area page",IF(AND(J10&gt;=3,J10&lt;=6),"OK","Need 3–6 service links"),"OK"))))</f>
        <v/>
      </c>
      <c r="M10" s="10"/>
      <c r="N10" s="10"/>
      <c r="O10" s="10"/>
    </row>
    <row r="11" customFormat="false" ht="15" hidden="false" customHeight="false" outlineLevel="0" collapsed="false">
      <c r="A11" s="5" t="n">
        <v>3</v>
      </c>
      <c r="B11" s="10" t="s">
        <v>394</v>
      </c>
      <c r="C11" s="27" t="s">
        <v>396</v>
      </c>
      <c r="D11" s="10"/>
      <c r="E11" s="10"/>
      <c r="F11" s="13" t="n">
        <v>1000</v>
      </c>
      <c r="G11" s="10"/>
      <c r="H11" s="5" t="str">
        <f aca="false">IF(OR(G11="",F11=""),"",IF(G11&gt;=F11,"OK","Too short"))</f>
        <v/>
      </c>
      <c r="I11" s="10"/>
      <c r="J11" s="10"/>
      <c r="K11" s="10"/>
      <c r="L11" s="5" t="str">
        <f aca="false">IF(K11="","",IF(K11&gt;10,"Too many links",IF(B11="Service page",IF(AND(I11&gt;=2,I11&lt;=4),"OK","Need 2–4 area links"),IF(B11="Area page",IF(AND(J11&gt;=3,J11&lt;=6),"OK","Need 3–6 service links"),"OK"))))</f>
        <v/>
      </c>
      <c r="M11" s="10"/>
      <c r="N11" s="10"/>
      <c r="O11" s="10"/>
    </row>
    <row r="12" customFormat="false" ht="15" hidden="false" customHeight="false" outlineLevel="0" collapsed="false">
      <c r="A12" s="5" t="n">
        <v>3</v>
      </c>
      <c r="B12" s="10" t="s">
        <v>394</v>
      </c>
      <c r="C12" s="27" t="s">
        <v>397</v>
      </c>
      <c r="D12" s="10"/>
      <c r="E12" s="10"/>
      <c r="F12" s="13" t="n">
        <v>1000</v>
      </c>
      <c r="G12" s="10"/>
      <c r="H12" s="5" t="str">
        <f aca="false">IF(OR(G12="",F12=""),"",IF(G12&gt;=F12,"OK","Too short"))</f>
        <v/>
      </c>
      <c r="I12" s="10"/>
      <c r="J12" s="10"/>
      <c r="K12" s="10"/>
      <c r="L12" s="5" t="str">
        <f aca="false">IF(K12="","",IF(K12&gt;10,"Too many links",IF(B12="Service page",IF(AND(I12&gt;=2,I12&lt;=4),"OK","Need 2–4 area links"),IF(B12="Area page",IF(AND(J12&gt;=3,J12&lt;=6),"OK","Need 3–6 service links"),"OK"))))</f>
        <v/>
      </c>
      <c r="M12" s="10"/>
      <c r="N12" s="10"/>
      <c r="O12" s="10"/>
    </row>
    <row r="13" customFormat="false" ht="15" hidden="false" customHeight="false" outlineLevel="0" collapsed="false">
      <c r="A13" s="5" t="n">
        <v>3</v>
      </c>
      <c r="B13" s="10" t="s">
        <v>394</v>
      </c>
      <c r="C13" s="27" t="s">
        <v>398</v>
      </c>
      <c r="D13" s="10"/>
      <c r="E13" s="10"/>
      <c r="F13" s="13" t="n">
        <v>1000</v>
      </c>
      <c r="G13" s="10"/>
      <c r="H13" s="5" t="str">
        <f aca="false">IF(OR(G13="",F13=""),"",IF(G13&gt;=F13,"OK","Too short"))</f>
        <v/>
      </c>
      <c r="I13" s="10"/>
      <c r="J13" s="10"/>
      <c r="K13" s="10"/>
      <c r="L13" s="5" t="str">
        <f aca="false">IF(K13="","",IF(K13&gt;10,"Too many links",IF(B13="Service page",IF(AND(I13&gt;=2,I13&lt;=4),"OK","Need 2–4 area links"),IF(B13="Area page",IF(AND(J13&gt;=3,J13&lt;=6),"OK","Need 3–6 service links"),"OK"))))</f>
        <v/>
      </c>
      <c r="M13" s="10"/>
      <c r="N13" s="10"/>
      <c r="O13" s="10"/>
    </row>
    <row r="14" customFormat="false" ht="15" hidden="false" customHeight="false" outlineLevel="0" collapsed="false">
      <c r="A14" s="5" t="n">
        <v>3</v>
      </c>
      <c r="B14" s="10" t="s">
        <v>394</v>
      </c>
      <c r="C14" s="27" t="s">
        <v>399</v>
      </c>
      <c r="D14" s="10"/>
      <c r="E14" s="10"/>
      <c r="F14" s="13" t="n">
        <v>1000</v>
      </c>
      <c r="G14" s="10"/>
      <c r="H14" s="5" t="str">
        <f aca="false">IF(OR(G14="",F14=""),"",IF(G14&gt;=F14,"OK","Too short"))</f>
        <v/>
      </c>
      <c r="I14" s="10"/>
      <c r="J14" s="10"/>
      <c r="K14" s="10"/>
      <c r="L14" s="5" t="str">
        <f aca="false">IF(K14="","",IF(K14&gt;10,"Too many links",IF(B14="Service page",IF(AND(I14&gt;=2,I14&lt;=4),"OK","Need 2–4 area links"),IF(B14="Area page",IF(AND(J14&gt;=3,J14&lt;=6),"OK","Need 3–6 service links"),"OK"))))</f>
        <v/>
      </c>
      <c r="M14" s="10"/>
      <c r="N14" s="10"/>
      <c r="O14" s="10"/>
    </row>
    <row r="15" customFormat="false" ht="15" hidden="false" customHeight="false" outlineLevel="0" collapsed="false">
      <c r="A15" s="5" t="n">
        <v>3</v>
      </c>
      <c r="B15" s="10" t="s">
        <v>394</v>
      </c>
      <c r="C15" s="27" t="s">
        <v>400</v>
      </c>
      <c r="D15" s="10"/>
      <c r="E15" s="10"/>
      <c r="F15" s="13" t="n">
        <v>1000</v>
      </c>
      <c r="G15" s="10"/>
      <c r="H15" s="5" t="str">
        <f aca="false">IF(OR(G15="",F15=""),"",IF(G15&gt;=F15,"OK","Too short"))</f>
        <v/>
      </c>
      <c r="I15" s="10"/>
      <c r="J15" s="10"/>
      <c r="K15" s="10"/>
      <c r="L15" s="5" t="str">
        <f aca="false">IF(K15="","",IF(K15&gt;10,"Too many links",IF(B15="Service page",IF(AND(I15&gt;=2,I15&lt;=4),"OK","Need 2–4 area links"),IF(B15="Area page",IF(AND(J15&gt;=3,J15&lt;=6),"OK","Need 3–6 service links"),"OK"))))</f>
        <v/>
      </c>
      <c r="M15" s="10"/>
      <c r="N15" s="10"/>
      <c r="O15" s="10"/>
    </row>
    <row r="16" customFormat="false" ht="15" hidden="false" customHeight="false" outlineLevel="0" collapsed="false">
      <c r="A16" s="5" t="n">
        <v>2</v>
      </c>
      <c r="B16" s="10" t="s">
        <v>401</v>
      </c>
      <c r="C16" s="27" t="s">
        <v>401</v>
      </c>
      <c r="D16" s="10"/>
      <c r="E16" s="10"/>
      <c r="F16" s="13"/>
      <c r="G16" s="10"/>
      <c r="H16" s="5" t="str">
        <f aca="false">IF(OR(G16="",F16=""),"",IF(G16&gt;=F16,"OK","Too short"))</f>
        <v/>
      </c>
      <c r="I16" s="10"/>
      <c r="J16" s="10"/>
      <c r="K16" s="10"/>
      <c r="L16" s="5" t="str">
        <f aca="false">IF(K16="","",IF(K16&gt;10,"Too many links",IF(B16="Service page",IF(AND(I16&gt;=2,I16&lt;=4),"OK","Need 2–4 area links"),IF(B16="Area page",IF(AND(J16&gt;=3,J16&lt;=6),"OK","Need 3–6 service links"),"OK"))))</f>
        <v/>
      </c>
      <c r="M16" s="10"/>
      <c r="N16" s="10"/>
      <c r="O16" s="10"/>
    </row>
    <row r="17" customFormat="false" ht="15" hidden="false" customHeight="false" outlineLevel="0" collapsed="false">
      <c r="A17" s="5" t="n">
        <v>3</v>
      </c>
      <c r="B17" s="10" t="s">
        <v>402</v>
      </c>
      <c r="C17" s="27" t="s">
        <v>403</v>
      </c>
      <c r="D17" s="10"/>
      <c r="E17" s="10"/>
      <c r="F17" s="13" t="n">
        <v>1200</v>
      </c>
      <c r="G17" s="10"/>
      <c r="H17" s="5" t="str">
        <f aca="false">IF(OR(G17="",F17=""),"",IF(G17&gt;=F17,"OK","Too short"))</f>
        <v/>
      </c>
      <c r="I17" s="10"/>
      <c r="J17" s="10"/>
      <c r="K17" s="10"/>
      <c r="L17" s="5" t="str">
        <f aca="false">IF(K17="","",IF(K17&gt;10,"Too many links",IF(B17="Service page",IF(AND(I17&gt;=2,I17&lt;=4),"OK","Need 2–4 area links"),IF(B17="Area page",IF(AND(J17&gt;=3,J17&lt;=6),"OK","Need 3–6 service links"),"OK"))))</f>
        <v/>
      </c>
      <c r="M17" s="10"/>
      <c r="N17" s="10"/>
      <c r="O17" s="10"/>
    </row>
    <row r="18" customFormat="false" ht="15" hidden="false" customHeight="false" outlineLevel="0" collapsed="false">
      <c r="A18" s="5" t="n">
        <v>3</v>
      </c>
      <c r="B18" s="10" t="s">
        <v>402</v>
      </c>
      <c r="C18" s="27" t="s">
        <v>404</v>
      </c>
      <c r="D18" s="10"/>
      <c r="E18" s="10"/>
      <c r="F18" s="13" t="n">
        <v>1200</v>
      </c>
      <c r="G18" s="10"/>
      <c r="H18" s="5" t="str">
        <f aca="false">IF(OR(G18="",F18=""),"",IF(G18&gt;=F18,"OK","Too short"))</f>
        <v/>
      </c>
      <c r="I18" s="10"/>
      <c r="J18" s="10"/>
      <c r="K18" s="10"/>
      <c r="L18" s="5" t="str">
        <f aca="false">IF(K18="","",IF(K18&gt;10,"Too many links",IF(B18="Service page",IF(AND(I18&gt;=2,I18&lt;=4),"OK","Need 2–4 area links"),IF(B18="Area page",IF(AND(J18&gt;=3,J18&lt;=6),"OK","Need 3–6 service links"),"OK"))))</f>
        <v/>
      </c>
      <c r="M18" s="10"/>
      <c r="N18" s="10"/>
      <c r="O18" s="10"/>
    </row>
    <row r="19" customFormat="false" ht="15" hidden="false" customHeight="false" outlineLevel="0" collapsed="false">
      <c r="A19" s="5" t="n">
        <v>3</v>
      </c>
      <c r="B19" s="10" t="s">
        <v>402</v>
      </c>
      <c r="C19" s="27" t="s">
        <v>405</v>
      </c>
      <c r="D19" s="10"/>
      <c r="E19" s="10"/>
      <c r="F19" s="13" t="n">
        <v>1200</v>
      </c>
      <c r="G19" s="10"/>
      <c r="H19" s="5" t="str">
        <f aca="false">IF(OR(G19="",F19=""),"",IF(G19&gt;=F19,"OK","Too short"))</f>
        <v/>
      </c>
      <c r="I19" s="10"/>
      <c r="J19" s="10"/>
      <c r="K19" s="10"/>
      <c r="L19" s="5" t="str">
        <f aca="false">IF(K19="","",IF(K19&gt;10,"Too many links",IF(B19="Service page",IF(AND(I19&gt;=2,I19&lt;=4),"OK","Need 2–4 area links"),IF(B19="Area page",IF(AND(J19&gt;=3,J19&lt;=6),"OK","Need 3–6 service links"),"OK"))))</f>
        <v/>
      </c>
      <c r="M19" s="10"/>
      <c r="N19" s="10"/>
      <c r="O19" s="10"/>
    </row>
    <row r="20" customFormat="false" ht="15" hidden="false" customHeight="false" outlineLevel="0" collapsed="false">
      <c r="A20" s="5" t="n">
        <v>3</v>
      </c>
      <c r="B20" s="10" t="s">
        <v>402</v>
      </c>
      <c r="C20" s="27" t="s">
        <v>406</v>
      </c>
      <c r="D20" s="10"/>
      <c r="E20" s="10"/>
      <c r="F20" s="13" t="n">
        <v>1200</v>
      </c>
      <c r="G20" s="10"/>
      <c r="H20" s="5" t="str">
        <f aca="false">IF(OR(G20="",F20=""),"",IF(G20&gt;=F20,"OK","Too short"))</f>
        <v/>
      </c>
      <c r="I20" s="10"/>
      <c r="J20" s="10"/>
      <c r="K20" s="10"/>
      <c r="L20" s="5" t="str">
        <f aca="false">IF(K20="","",IF(K20&gt;10,"Too many links",IF(B20="Service page",IF(AND(I20&gt;=2,I20&lt;=4),"OK","Need 2–4 area links"),IF(B20="Area page",IF(AND(J20&gt;=3,J20&lt;=6),"OK","Need 3–6 service links"),"OK"))))</f>
        <v/>
      </c>
      <c r="M20" s="10"/>
      <c r="N20" s="10"/>
      <c r="O20" s="10"/>
    </row>
    <row r="21" customFormat="false" ht="15" hidden="false" customHeight="false" outlineLevel="0" collapsed="false">
      <c r="A21" s="5" t="n">
        <v>3</v>
      </c>
      <c r="B21" s="10" t="s">
        <v>402</v>
      </c>
      <c r="C21" s="27" t="s">
        <v>407</v>
      </c>
      <c r="D21" s="10"/>
      <c r="E21" s="10"/>
      <c r="F21" s="13" t="n">
        <v>1200</v>
      </c>
      <c r="G21" s="10"/>
      <c r="H21" s="5" t="str">
        <f aca="false">IF(OR(G21="",F21=""),"",IF(G21&gt;=F21,"OK","Too short"))</f>
        <v/>
      </c>
      <c r="I21" s="10"/>
      <c r="J21" s="10"/>
      <c r="K21" s="10"/>
      <c r="L21" s="5" t="str">
        <f aca="false">IF(K21="","",IF(K21&gt;10,"Too many links",IF(B21="Service page",IF(AND(I21&gt;=2,I21&lt;=4),"OK","Need 2–4 area links"),IF(B21="Area page",IF(AND(J21&gt;=3,J21&lt;=6),"OK","Need 3–6 service links"),"OK"))))</f>
        <v/>
      </c>
      <c r="M21" s="10"/>
      <c r="N21" s="10"/>
      <c r="O21" s="10"/>
    </row>
    <row r="22" customFormat="false" ht="15" hidden="false" customHeight="false" outlineLevel="0" collapsed="false">
      <c r="A22" s="10"/>
      <c r="B22" s="10"/>
      <c r="C22" s="10"/>
      <c r="D22" s="10"/>
      <c r="E22" s="10"/>
      <c r="F22" s="10"/>
      <c r="G22" s="10"/>
      <c r="H22" s="5" t="str">
        <f aca="false">IF(OR(G22="",F22=""),"",IF(G22&gt;=F22,"OK","Too short"))</f>
        <v/>
      </c>
      <c r="I22" s="10"/>
      <c r="J22" s="10"/>
      <c r="K22" s="10"/>
      <c r="L22" s="5" t="str">
        <f aca="false">IF(K22="","",IF(K22&gt;10,"Too many links",IF(B22="Service page",IF(AND(I22&gt;=2,I22&lt;=4),"OK","Need 2–4 area links"),IF(B22="Area page",IF(AND(J22&gt;=3,J22&lt;=6),"OK","Need 3–6 service links"),"OK"))))</f>
        <v/>
      </c>
      <c r="M22" s="10"/>
      <c r="N22" s="10"/>
      <c r="O22" s="10"/>
    </row>
    <row r="23" customFormat="false" ht="15" hidden="false" customHeight="false" outlineLevel="0" collapsed="false">
      <c r="A23" s="10"/>
      <c r="B23" s="10"/>
      <c r="C23" s="10"/>
      <c r="D23" s="10"/>
      <c r="E23" s="10"/>
      <c r="F23" s="10"/>
      <c r="G23" s="10"/>
      <c r="H23" s="5" t="str">
        <f aca="false">IF(OR(G23="",F23=""),"",IF(G23&gt;=F23,"OK","Too short"))</f>
        <v/>
      </c>
      <c r="I23" s="10"/>
      <c r="J23" s="10"/>
      <c r="K23" s="10"/>
      <c r="L23" s="5" t="str">
        <f aca="false">IF(K23="","",IF(K23&gt;10,"Too many links",IF(B23="Service page",IF(AND(I23&gt;=2,I23&lt;=4),"OK","Need 2–4 area links"),IF(B23="Area page",IF(AND(J23&gt;=3,J23&lt;=6),"OK","Need 3–6 service links"),"OK"))))</f>
        <v/>
      </c>
      <c r="M23" s="10"/>
      <c r="N23" s="10"/>
      <c r="O23" s="10"/>
    </row>
    <row r="24" customFormat="false" ht="15" hidden="false" customHeight="false" outlineLevel="0" collapsed="false">
      <c r="A24" s="10"/>
      <c r="B24" s="10"/>
      <c r="C24" s="10"/>
      <c r="D24" s="10"/>
      <c r="E24" s="10"/>
      <c r="F24" s="10"/>
      <c r="G24" s="10"/>
      <c r="H24" s="5" t="str">
        <f aca="false">IF(OR(G24="",F24=""),"",IF(G24&gt;=F24,"OK","Too short"))</f>
        <v/>
      </c>
      <c r="I24" s="10"/>
      <c r="J24" s="10"/>
      <c r="K24" s="10"/>
      <c r="L24" s="5" t="str">
        <f aca="false">IF(K24="","",IF(K24&gt;10,"Too many links",IF(B24="Service page",IF(AND(I24&gt;=2,I24&lt;=4),"OK","Need 2–4 area links"),IF(B24="Area page",IF(AND(J24&gt;=3,J24&lt;=6),"OK","Need 3–6 service links"),"OK"))))</f>
        <v/>
      </c>
      <c r="M24" s="10"/>
      <c r="N24" s="10"/>
      <c r="O24" s="10"/>
    </row>
    <row r="25" customFormat="false" ht="15" hidden="false" customHeight="false" outlineLevel="0" collapsed="false">
      <c r="A25" s="10"/>
      <c r="B25" s="10"/>
      <c r="C25" s="10"/>
      <c r="D25" s="10"/>
      <c r="E25" s="10"/>
      <c r="F25" s="10"/>
      <c r="G25" s="10"/>
      <c r="H25" s="5" t="str">
        <f aca="false">IF(OR(G25="",F25=""),"",IF(G25&gt;=F25,"OK","Too short"))</f>
        <v/>
      </c>
      <c r="I25" s="10"/>
      <c r="J25" s="10"/>
      <c r="K25" s="10"/>
      <c r="L25" s="5" t="str">
        <f aca="false">IF(K25="","",IF(K25&gt;10,"Too many links",IF(B25="Service page",IF(AND(I25&gt;=2,I25&lt;=4),"OK","Need 2–4 area links"),IF(B25="Area page",IF(AND(J25&gt;=3,J25&lt;=6),"OK","Need 3–6 service links"),"OK"))))</f>
        <v/>
      </c>
      <c r="M25" s="10"/>
      <c r="N25" s="10"/>
      <c r="O25" s="10"/>
    </row>
    <row r="26" customFormat="false" ht="15" hidden="false" customHeight="false" outlineLevel="0" collapsed="false">
      <c r="A26" s="10"/>
      <c r="B26" s="10"/>
      <c r="C26" s="10"/>
      <c r="D26" s="10"/>
      <c r="E26" s="10"/>
      <c r="F26" s="10"/>
      <c r="G26" s="10"/>
      <c r="H26" s="5" t="str">
        <f aca="false">IF(OR(G26="",F26=""),"",IF(G26&gt;=F26,"OK","Too short"))</f>
        <v/>
      </c>
      <c r="I26" s="10"/>
      <c r="J26" s="10"/>
      <c r="K26" s="10"/>
      <c r="L26" s="5" t="str">
        <f aca="false">IF(K26="","",IF(K26&gt;10,"Too many links",IF(B26="Service page",IF(AND(I26&gt;=2,I26&lt;=4),"OK","Need 2–4 area links"),IF(B26="Area page",IF(AND(J26&gt;=3,J26&lt;=6),"OK","Need 3–6 service links"),"OK"))))</f>
        <v/>
      </c>
      <c r="M26" s="10"/>
      <c r="N26" s="10"/>
      <c r="O26" s="10"/>
    </row>
    <row r="27" customFormat="false" ht="15" hidden="false" customHeight="false" outlineLevel="0" collapsed="false">
      <c r="A27" s="10"/>
      <c r="B27" s="10"/>
      <c r="C27" s="10"/>
      <c r="D27" s="10"/>
      <c r="E27" s="10"/>
      <c r="F27" s="10"/>
      <c r="G27" s="10"/>
      <c r="H27" s="5" t="str">
        <f aca="false">IF(OR(G27="",F27=""),"",IF(G27&gt;=F27,"OK","Too short"))</f>
        <v/>
      </c>
      <c r="I27" s="10"/>
      <c r="J27" s="10"/>
      <c r="K27" s="10"/>
      <c r="L27" s="5" t="str">
        <f aca="false">IF(K27="","",IF(K27&gt;10,"Too many links",IF(B27="Service page",IF(AND(I27&gt;=2,I27&lt;=4),"OK","Need 2–4 area links"),IF(B27="Area page",IF(AND(J27&gt;=3,J27&lt;=6),"OK","Need 3–6 service links"),"OK"))))</f>
        <v/>
      </c>
      <c r="M27" s="10"/>
      <c r="N27" s="10"/>
      <c r="O27" s="10"/>
    </row>
    <row r="28" customFormat="false" ht="15" hidden="false" customHeight="false" outlineLevel="0" collapsed="false">
      <c r="A28" s="10"/>
      <c r="B28" s="10"/>
      <c r="C28" s="10"/>
      <c r="D28" s="10"/>
      <c r="E28" s="10"/>
      <c r="F28" s="10"/>
      <c r="G28" s="10"/>
      <c r="H28" s="5" t="str">
        <f aca="false">IF(OR(G28="",F28=""),"",IF(G28&gt;=F28,"OK","Too short"))</f>
        <v/>
      </c>
      <c r="I28" s="10"/>
      <c r="J28" s="10"/>
      <c r="K28" s="10"/>
      <c r="L28" s="5" t="str">
        <f aca="false">IF(K28="","",IF(K28&gt;10,"Too many links",IF(B28="Service page",IF(AND(I28&gt;=2,I28&lt;=4),"OK","Need 2–4 area links"),IF(B28="Area page",IF(AND(J28&gt;=3,J28&lt;=6),"OK","Need 3–6 service links"),"OK"))))</f>
        <v/>
      </c>
      <c r="M28" s="10"/>
      <c r="N28" s="10"/>
      <c r="O28" s="10"/>
    </row>
    <row r="29" customFormat="false" ht="15" hidden="false" customHeight="false" outlineLevel="0" collapsed="false">
      <c r="A29" s="10"/>
      <c r="B29" s="10"/>
      <c r="C29" s="10"/>
      <c r="D29" s="10"/>
      <c r="E29" s="10"/>
      <c r="F29" s="10"/>
      <c r="G29" s="10"/>
      <c r="H29" s="5" t="str">
        <f aca="false">IF(OR(G29="",F29=""),"",IF(G29&gt;=F29,"OK","Too short"))</f>
        <v/>
      </c>
      <c r="I29" s="10"/>
      <c r="J29" s="10"/>
      <c r="K29" s="10"/>
      <c r="L29" s="5" t="str">
        <f aca="false">IF(K29="","",IF(K29&gt;10,"Too many links",IF(B29="Service page",IF(AND(I29&gt;=2,I29&lt;=4),"OK","Need 2–4 area links"),IF(B29="Area page",IF(AND(J29&gt;=3,J29&lt;=6),"OK","Need 3–6 service links"),"OK"))))</f>
        <v/>
      </c>
      <c r="M29" s="10"/>
      <c r="N29" s="10"/>
      <c r="O29" s="10"/>
    </row>
    <row r="30" customFormat="false" ht="15" hidden="false" customHeight="false" outlineLevel="0" collapsed="false">
      <c r="A30" s="10"/>
      <c r="B30" s="10"/>
      <c r="C30" s="10"/>
      <c r="D30" s="10"/>
      <c r="E30" s="10"/>
      <c r="F30" s="10"/>
      <c r="G30" s="10"/>
      <c r="H30" s="5" t="str">
        <f aca="false">IF(OR(G30="",F30=""),"",IF(G30&gt;=F30,"OK","Too short"))</f>
        <v/>
      </c>
      <c r="I30" s="10"/>
      <c r="J30" s="10"/>
      <c r="K30" s="10"/>
      <c r="L30" s="5" t="str">
        <f aca="false">IF(K30="","",IF(K30&gt;10,"Too many links",IF(B30="Service page",IF(AND(I30&gt;=2,I30&lt;=4),"OK","Need 2–4 area links"),IF(B30="Area page",IF(AND(J30&gt;=3,J30&lt;=6),"OK","Need 3–6 service links"),"OK"))))</f>
        <v/>
      </c>
      <c r="M30" s="10"/>
      <c r="N30" s="10"/>
      <c r="O30" s="10"/>
    </row>
    <row r="31" customFormat="false" ht="15" hidden="false" customHeight="false" outlineLevel="0" collapsed="false">
      <c r="A31" s="10"/>
      <c r="B31" s="10"/>
      <c r="C31" s="10"/>
      <c r="D31" s="10"/>
      <c r="E31" s="10"/>
      <c r="F31" s="10"/>
      <c r="G31" s="10"/>
      <c r="H31" s="5" t="str">
        <f aca="false">IF(OR(G31="",F31=""),"",IF(G31&gt;=F31,"OK","Too short"))</f>
        <v/>
      </c>
      <c r="I31" s="10"/>
      <c r="J31" s="10"/>
      <c r="K31" s="10"/>
      <c r="L31" s="5" t="str">
        <f aca="false">IF(K31="","",IF(K31&gt;10,"Too many links",IF(B31="Service page",IF(AND(I31&gt;=2,I31&lt;=4),"OK","Need 2–4 area links"),IF(B31="Area page",IF(AND(J31&gt;=3,J31&lt;=6),"OK","Need 3–6 service links"),"OK"))))</f>
        <v/>
      </c>
      <c r="M31" s="10"/>
      <c r="N31" s="10"/>
      <c r="O31" s="10"/>
    </row>
    <row r="32" customFormat="false" ht="15" hidden="false" customHeight="false" outlineLevel="0" collapsed="false">
      <c r="A32" s="10"/>
      <c r="B32" s="10"/>
      <c r="C32" s="10"/>
      <c r="D32" s="10"/>
      <c r="E32" s="10"/>
      <c r="F32" s="10"/>
      <c r="G32" s="10"/>
      <c r="H32" s="5" t="str">
        <f aca="false">IF(OR(G32="",F32=""),"",IF(G32&gt;=F32,"OK","Too short"))</f>
        <v/>
      </c>
      <c r="I32" s="10"/>
      <c r="J32" s="10"/>
      <c r="K32" s="10"/>
      <c r="L32" s="5" t="str">
        <f aca="false">IF(K32="","",IF(K32&gt;10,"Too many links",IF(B32="Service page",IF(AND(I32&gt;=2,I32&lt;=4),"OK","Need 2–4 area links"),IF(B32="Area page",IF(AND(J32&gt;=3,J32&lt;=6),"OK","Need 3–6 service links"),"OK"))))</f>
        <v/>
      </c>
      <c r="M32" s="10"/>
      <c r="N32" s="10"/>
      <c r="O32" s="10"/>
    </row>
    <row r="33" customFormat="false" ht="15" hidden="false" customHeight="false" outlineLevel="0" collapsed="false">
      <c r="A33" s="10"/>
      <c r="B33" s="10"/>
      <c r="C33" s="10"/>
      <c r="D33" s="10"/>
      <c r="E33" s="10"/>
      <c r="F33" s="10"/>
      <c r="G33" s="10"/>
      <c r="H33" s="5" t="str">
        <f aca="false">IF(OR(G33="",F33=""),"",IF(G33&gt;=F33,"OK","Too short"))</f>
        <v/>
      </c>
      <c r="I33" s="10"/>
      <c r="J33" s="10"/>
      <c r="K33" s="10"/>
      <c r="L33" s="5" t="str">
        <f aca="false">IF(K33="","",IF(K33&gt;10,"Too many links",IF(B33="Service page",IF(AND(I33&gt;=2,I33&lt;=4),"OK","Need 2–4 area links"),IF(B33="Area page",IF(AND(J33&gt;=3,J33&lt;=6),"OK","Need 3–6 service links"),"OK"))))</f>
        <v/>
      </c>
      <c r="M33" s="10"/>
      <c r="N33" s="10"/>
      <c r="O33" s="10"/>
    </row>
    <row r="34" customFormat="false" ht="15" hidden="false" customHeight="false" outlineLevel="0" collapsed="false">
      <c r="A34" s="10"/>
      <c r="B34" s="10"/>
      <c r="C34" s="10"/>
      <c r="D34" s="10"/>
      <c r="E34" s="10"/>
      <c r="F34" s="10"/>
      <c r="G34" s="10"/>
      <c r="H34" s="5" t="str">
        <f aca="false">IF(OR(G34="",F34=""),"",IF(G34&gt;=F34,"OK","Too short"))</f>
        <v/>
      </c>
      <c r="I34" s="10"/>
      <c r="J34" s="10"/>
      <c r="K34" s="10"/>
      <c r="L34" s="5" t="str">
        <f aca="false">IF(K34="","",IF(K34&gt;10,"Too many links",IF(B34="Service page",IF(AND(I34&gt;=2,I34&lt;=4),"OK","Need 2–4 area links"),IF(B34="Area page",IF(AND(J34&gt;=3,J34&lt;=6),"OK","Need 3–6 service links"),"OK"))))</f>
        <v/>
      </c>
      <c r="M34" s="10"/>
      <c r="N34" s="10"/>
      <c r="O34" s="10"/>
    </row>
    <row r="35" customFormat="false" ht="15" hidden="false" customHeight="false" outlineLevel="0" collapsed="false">
      <c r="A35" s="10"/>
      <c r="B35" s="10"/>
      <c r="C35" s="10"/>
      <c r="D35" s="10"/>
      <c r="E35" s="10"/>
      <c r="F35" s="10"/>
      <c r="G35" s="10"/>
      <c r="H35" s="5" t="str">
        <f aca="false">IF(OR(G35="",F35=""),"",IF(G35&gt;=F35,"OK","Too short"))</f>
        <v/>
      </c>
      <c r="I35" s="10"/>
      <c r="J35" s="10"/>
      <c r="K35" s="10"/>
      <c r="L35" s="5" t="str">
        <f aca="false">IF(K35="","",IF(K35&gt;10,"Too many links",IF(B35="Service page",IF(AND(I35&gt;=2,I35&lt;=4),"OK","Need 2–4 area links"),IF(B35="Area page",IF(AND(J35&gt;=3,J35&lt;=6),"OK","Need 3–6 service links"),"OK"))))</f>
        <v/>
      </c>
      <c r="M35" s="10"/>
      <c r="N35" s="10"/>
      <c r="O35" s="10"/>
    </row>
    <row r="36" customFormat="false" ht="15" hidden="false" customHeight="false" outlineLevel="0" collapsed="false">
      <c r="A36" s="10"/>
      <c r="B36" s="10"/>
      <c r="C36" s="10"/>
      <c r="D36" s="10"/>
      <c r="E36" s="10"/>
      <c r="F36" s="10"/>
      <c r="G36" s="10"/>
      <c r="H36" s="5" t="str">
        <f aca="false">IF(OR(G36="",F36=""),"",IF(G36&gt;=F36,"OK","Too short"))</f>
        <v/>
      </c>
      <c r="I36" s="10"/>
      <c r="J36" s="10"/>
      <c r="K36" s="10"/>
      <c r="L36" s="5" t="str">
        <f aca="false">IF(K36="","",IF(K36&gt;10,"Too many links",IF(B36="Service page",IF(AND(I36&gt;=2,I36&lt;=4),"OK","Need 2–4 area links"),IF(B36="Area page",IF(AND(J36&gt;=3,J36&lt;=6),"OK","Need 3–6 service links"),"OK"))))</f>
        <v/>
      </c>
      <c r="M36" s="10"/>
      <c r="N36" s="10"/>
      <c r="O36" s="10"/>
    </row>
    <row r="38" customFormat="false" ht="15" hidden="false" customHeight="false" outlineLevel="0" collapsed="false">
      <c r="C38" s="34" t="s">
        <v>408</v>
      </c>
      <c r="D38" s="5" t="n">
        <f aca="false">COUNTA(C5:C36)</f>
        <v>17</v>
      </c>
    </row>
    <row r="39" customFormat="false" ht="15" hidden="false" customHeight="false" outlineLevel="0" collapsed="false">
      <c r="C39" s="34" t="s">
        <v>409</v>
      </c>
      <c r="D39" s="5" t="n">
        <f aca="false">COUNTIF(M5:M36,"Published")+COUNTIF(M5:M36,"Interlinked")</f>
        <v>0</v>
      </c>
    </row>
    <row r="40" customFormat="false" ht="15" hidden="false" customHeight="false" outlineLevel="0" collapsed="false">
      <c r="C40" s="34" t="s">
        <v>410</v>
      </c>
      <c r="D40" s="5" t="n">
        <f aca="false">COUNTIF(N5:N36,"Yes")</f>
        <v>0</v>
      </c>
    </row>
  </sheetData>
  <conditionalFormatting sqref="H5:H36">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"Waiting on client"</formula>
    </cfRule>
    <cfRule type="cellIs" priority="5" operator="equal" aboveAverage="0" equalAverage="0" bottom="0" percent="0" rank="0" text="" dxfId="3">
      <formula>"N/A"</formula>
    </cfRule>
    <cfRule type="cellIs" priority="6" operator="equal" aboveAverage="0" equalAverage="0" bottom="0" percent="0" rank="0" text="" dxfId="0">
      <formula>"Live"</formula>
    </cfRule>
    <cfRule type="cellIs" priority="7" operator="equal" aboveAverage="0" equalAverage="0" bottom="0" percent="0" rank="0" text="" dxfId="0">
      <formula>"Pass"</formula>
    </cfRule>
    <cfRule type="cellIs" priority="8" operator="equal" aboveAverage="0" equalAverage="0" bottom="0" percent="0" rank="0" text="" dxfId="0">
      <formula>"OK"</formula>
    </cfRule>
    <cfRule type="expression" priority="9" aboveAverage="0" equalAverage="0" bottom="0" percent="0" rank="0" text="" dxfId="4">
      <formula>OR(LEFT(H5,4)="Fail",LEFT(H5,6)="Behind",LEFT(H5,4)="Need",LEFT(H5,3)="Too",LEFT(H5,3)="Add",LEFT(H5,4)="Trim")</formula>
    </cfRule>
  </conditionalFormatting>
  <conditionalFormatting sqref="L5:L36">
    <cfRule type="cellIs" priority="10" operator="equal" aboveAverage="0" equalAverage="0" bottom="0" percent="0" rank="0" text="" dxfId="0">
      <formula>"Done"</formula>
    </cfRule>
    <cfRule type="cellIs" priority="11" operator="equal" aboveAverage="0" equalAverage="0" bottom="0" percent="0" rank="0" text="" dxfId="1">
      <formula>"In progress"</formula>
    </cfRule>
    <cfRule type="cellIs" priority="12" operator="equal" aboveAverage="0" equalAverage="0" bottom="0" percent="0" rank="0" text="" dxfId="2">
      <formula>"Waiting on client"</formula>
    </cfRule>
    <cfRule type="cellIs" priority="13" operator="equal" aboveAverage="0" equalAverage="0" bottom="0" percent="0" rank="0" text="" dxfId="3">
      <formula>"N/A"</formula>
    </cfRule>
    <cfRule type="cellIs" priority="14" operator="equal" aboveAverage="0" equalAverage="0" bottom="0" percent="0" rank="0" text="" dxfId="0">
      <formula>"Live"</formula>
    </cfRule>
    <cfRule type="cellIs" priority="15" operator="equal" aboveAverage="0" equalAverage="0" bottom="0" percent="0" rank="0" text="" dxfId="0">
      <formula>"Pass"</formula>
    </cfRule>
    <cfRule type="cellIs" priority="16" operator="equal" aboveAverage="0" equalAverage="0" bottom="0" percent="0" rank="0" text="" dxfId="0">
      <formula>"OK"</formula>
    </cfRule>
    <cfRule type="expression" priority="17" aboveAverage="0" equalAverage="0" bottom="0" percent="0" rank="0" text="" dxfId="4">
      <formula>OR(LEFT(L5,4)="Fail",LEFT(L5,6)="Behind",LEFT(L5,4)="Need",LEFT(L5,3)="Too",LEFT(L5,3)="Add",LEFT(L5,4)="Trim")</formula>
    </cfRule>
  </conditionalFormatting>
  <dataValidations count="3">
    <dataValidation allowBlank="true" error="Pick an option from the list." errorStyle="stop" errorTitle="Invalid value" operator="between" showDropDown="false" showErrorMessage="false" showInputMessage="false" sqref="B5:B36" type="list">
      <formula1>"Landing page,Category page,Core service,Service page,Areas we serve,Area page,Other"</formula1>
      <formula2>0</formula2>
    </dataValidation>
    <dataValidation allowBlank="true" error="Pick an option from the list." errorStyle="stop" errorTitle="Invalid value" operator="between" showDropDown="false" showErrorMessage="false" showInputMessage="false" sqref="M5:M36" type="list">
      <formula1>"To write,Drafted,Client review,Published,Interlinked"</formula1>
      <formula2>0</formula2>
    </dataValidation>
    <dataValidation allowBlank="true" error="Pick an option from the list." errorStyle="stop" errorTitle="Invalid value" operator="between" showDropDown="false" showErrorMessage="false" showInputMessage="false" sqref="N5:N3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K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9" min="2" style="0" width="14"/>
    <col collapsed="false" customWidth="true" hidden="false" outlineLevel="0" max="10" min="10" style="0" width="12"/>
    <col collapsed="false" customWidth="true" hidden="false" outlineLevel="0" max="11" min="11" style="0" width="20"/>
  </cols>
  <sheetData>
    <row r="1" customFormat="false" ht="27.75" hidden="false" customHeight="true" outlineLevel="0" collapsed="false">
      <c r="A1" s="1" t="s">
        <v>411</v>
      </c>
    </row>
    <row r="2" customFormat="false" ht="15" hidden="false" customHeight="false" outlineLevel="0" collapsed="false">
      <c r="A2" s="2" t="s">
        <v>412</v>
      </c>
    </row>
    <row r="4" customFormat="false" ht="15" hidden="false" customHeight="false" outlineLevel="0" collapsed="false">
      <c r="A4" s="37" t="s">
        <v>413</v>
      </c>
      <c r="B4" s="38" t="s">
        <v>414</v>
      </c>
      <c r="C4" s="38" t="s">
        <v>415</v>
      </c>
      <c r="D4" s="38" t="s">
        <v>416</v>
      </c>
      <c r="E4" s="38" t="s">
        <v>417</v>
      </c>
      <c r="F4" s="38" t="s">
        <v>418</v>
      </c>
      <c r="G4" s="38" t="s">
        <v>419</v>
      </c>
      <c r="H4" s="38" t="s">
        <v>420</v>
      </c>
      <c r="I4" s="38" t="s">
        <v>421</v>
      </c>
      <c r="J4" s="37" t="s">
        <v>422</v>
      </c>
      <c r="K4" s="37" t="s">
        <v>423</v>
      </c>
    </row>
    <row r="5" customFormat="false" ht="15" hidden="false" customHeight="false" outlineLevel="0" collapsed="false">
      <c r="A5" s="4" t="s">
        <v>424</v>
      </c>
      <c r="B5" s="39"/>
      <c r="C5" s="39"/>
      <c r="D5" s="39"/>
      <c r="E5" s="39"/>
      <c r="F5" s="39"/>
      <c r="G5" s="39"/>
      <c r="H5" s="39"/>
      <c r="I5" s="39"/>
      <c r="J5" s="5" t="n">
        <f aca="false">COUNTIF(B5:I5,"x")</f>
        <v>0</v>
      </c>
      <c r="K5" s="5" t="str">
        <f aca="false">IF(J5=0,"",IF(AND(J5&gt;=2,J5&lt;=4),"OK","Need 2–4 area links"))</f>
        <v/>
      </c>
    </row>
    <row r="6" customFormat="false" ht="15" hidden="false" customHeight="false" outlineLevel="0" collapsed="false">
      <c r="A6" s="4" t="s">
        <v>425</v>
      </c>
      <c r="B6" s="39"/>
      <c r="C6" s="39"/>
      <c r="D6" s="39"/>
      <c r="E6" s="39"/>
      <c r="F6" s="39"/>
      <c r="G6" s="39"/>
      <c r="H6" s="39"/>
      <c r="I6" s="39"/>
      <c r="J6" s="5" t="n">
        <f aca="false">COUNTIF(B6:I6,"x")</f>
        <v>0</v>
      </c>
      <c r="K6" s="5" t="str">
        <f aca="false">IF(J6=0,"",IF(AND(J6&gt;=2,J6&lt;=4),"OK","Need 2–4 area links"))</f>
        <v/>
      </c>
    </row>
    <row r="7" customFormat="false" ht="15" hidden="false" customHeight="false" outlineLevel="0" collapsed="false">
      <c r="A7" s="4" t="s">
        <v>426</v>
      </c>
      <c r="B7" s="39"/>
      <c r="C7" s="39"/>
      <c r="D7" s="39"/>
      <c r="E7" s="39"/>
      <c r="F7" s="39"/>
      <c r="G7" s="39"/>
      <c r="H7" s="39"/>
      <c r="I7" s="39"/>
      <c r="J7" s="5" t="n">
        <f aca="false">COUNTIF(B7:I7,"x")</f>
        <v>0</v>
      </c>
      <c r="K7" s="5" t="str">
        <f aca="false">IF(J7=0,"",IF(AND(J7&gt;=2,J7&lt;=4),"OK","Need 2–4 area links"))</f>
        <v/>
      </c>
    </row>
    <row r="8" customFormat="false" ht="15" hidden="false" customHeight="false" outlineLevel="0" collapsed="false">
      <c r="A8" s="4" t="s">
        <v>427</v>
      </c>
      <c r="B8" s="39"/>
      <c r="C8" s="39"/>
      <c r="D8" s="39"/>
      <c r="E8" s="39"/>
      <c r="F8" s="39"/>
      <c r="G8" s="39"/>
      <c r="H8" s="39"/>
      <c r="I8" s="39"/>
      <c r="J8" s="5" t="n">
        <f aca="false">COUNTIF(B8:I8,"x")</f>
        <v>0</v>
      </c>
      <c r="K8" s="5" t="str">
        <f aca="false">IF(J8=0,"",IF(AND(J8&gt;=2,J8&lt;=4),"OK","Need 2–4 area links"))</f>
        <v/>
      </c>
    </row>
    <row r="9" customFormat="false" ht="15" hidden="false" customHeight="false" outlineLevel="0" collapsed="false">
      <c r="A9" s="4" t="s">
        <v>428</v>
      </c>
      <c r="B9" s="39"/>
      <c r="C9" s="39"/>
      <c r="D9" s="39"/>
      <c r="E9" s="39"/>
      <c r="F9" s="39"/>
      <c r="G9" s="39"/>
      <c r="H9" s="39"/>
      <c r="I9" s="39"/>
      <c r="J9" s="5" t="n">
        <f aca="false">COUNTIF(B9:I9,"x")</f>
        <v>0</v>
      </c>
      <c r="K9" s="5" t="str">
        <f aca="false">IF(J9=0,"",IF(AND(J9&gt;=2,J9&lt;=4),"OK","Need 2–4 area links"))</f>
        <v/>
      </c>
    </row>
    <row r="10" customFormat="false" ht="15" hidden="false" customHeight="false" outlineLevel="0" collapsed="false">
      <c r="A10" s="4" t="s">
        <v>429</v>
      </c>
      <c r="B10" s="39"/>
      <c r="C10" s="39"/>
      <c r="D10" s="39"/>
      <c r="E10" s="39"/>
      <c r="F10" s="39"/>
      <c r="G10" s="39"/>
      <c r="H10" s="39"/>
      <c r="I10" s="39"/>
      <c r="J10" s="5" t="n">
        <f aca="false">COUNTIF(B10:I10,"x")</f>
        <v>0</v>
      </c>
      <c r="K10" s="5" t="str">
        <f aca="false">IF(J10=0,"",IF(AND(J10&gt;=2,J10&lt;=4),"OK","Need 2–4 area links"))</f>
        <v/>
      </c>
    </row>
    <row r="11" customFormat="false" ht="15" hidden="false" customHeight="false" outlineLevel="0" collapsed="false">
      <c r="A11" s="4" t="s">
        <v>430</v>
      </c>
      <c r="B11" s="39"/>
      <c r="C11" s="39"/>
      <c r="D11" s="39"/>
      <c r="E11" s="39"/>
      <c r="F11" s="39"/>
      <c r="G11" s="39"/>
      <c r="H11" s="39"/>
      <c r="I11" s="39"/>
      <c r="J11" s="5" t="n">
        <f aca="false">COUNTIF(B11:I11,"x")</f>
        <v>0</v>
      </c>
      <c r="K11" s="5" t="str">
        <f aca="false">IF(J11=0,"",IF(AND(J11&gt;=2,J11&lt;=4),"OK","Need 2–4 area links"))</f>
        <v/>
      </c>
    </row>
    <row r="12" customFormat="false" ht="15" hidden="false" customHeight="false" outlineLevel="0" collapsed="false">
      <c r="A12" s="4" t="s">
        <v>431</v>
      </c>
      <c r="B12" s="39"/>
      <c r="C12" s="39"/>
      <c r="D12" s="39"/>
      <c r="E12" s="39"/>
      <c r="F12" s="39"/>
      <c r="G12" s="39"/>
      <c r="H12" s="39"/>
      <c r="I12" s="39"/>
      <c r="J12" s="5" t="n">
        <f aca="false">COUNTIF(B12:I12,"x")</f>
        <v>0</v>
      </c>
      <c r="K12" s="5" t="str">
        <f aca="false">IF(J12=0,"",IF(AND(J12&gt;=2,J12&lt;=4),"OK","Need 2–4 area links"))</f>
        <v/>
      </c>
    </row>
    <row r="13" customFormat="false" ht="15" hidden="false" customHeight="false" outlineLevel="0" collapsed="false">
      <c r="A13" s="4" t="s">
        <v>432</v>
      </c>
      <c r="B13" s="39"/>
      <c r="C13" s="39"/>
      <c r="D13" s="39"/>
      <c r="E13" s="39"/>
      <c r="F13" s="39"/>
      <c r="G13" s="39"/>
      <c r="H13" s="39"/>
      <c r="I13" s="39"/>
      <c r="J13" s="5" t="n">
        <f aca="false">COUNTIF(B13:I13,"x")</f>
        <v>0</v>
      </c>
      <c r="K13" s="5" t="str">
        <f aca="false">IF(J13=0,"",IF(AND(J13&gt;=2,J13&lt;=4),"OK","Need 2–4 area links"))</f>
        <v/>
      </c>
    </row>
    <row r="14" customFormat="false" ht="15" hidden="false" customHeight="false" outlineLevel="0" collapsed="false">
      <c r="A14" s="4" t="s">
        <v>433</v>
      </c>
      <c r="B14" s="39"/>
      <c r="C14" s="39"/>
      <c r="D14" s="39"/>
      <c r="E14" s="39"/>
      <c r="F14" s="39"/>
      <c r="G14" s="39"/>
      <c r="H14" s="39"/>
      <c r="I14" s="39"/>
      <c r="J14" s="5" t="n">
        <f aca="false">COUNTIF(B14:I14,"x")</f>
        <v>0</v>
      </c>
      <c r="K14" s="5" t="str">
        <f aca="false">IF(J14=0,"",IF(AND(J14&gt;=2,J14&lt;=4),"OK","Need 2–4 area links"))</f>
        <v/>
      </c>
    </row>
    <row r="15" customFormat="false" ht="15" hidden="false" customHeight="false" outlineLevel="0" collapsed="false">
      <c r="A15" s="37" t="s">
        <v>434</v>
      </c>
      <c r="B15" s="40" t="n">
        <f aca="false">COUNTIF(B5:B14,"x")</f>
        <v>0</v>
      </c>
      <c r="C15" s="40" t="n">
        <f aca="false">COUNTIF(C5:C14,"x")</f>
        <v>0</v>
      </c>
      <c r="D15" s="40" t="n">
        <f aca="false">COUNTIF(D5:D14,"x")</f>
        <v>0</v>
      </c>
      <c r="E15" s="40" t="n">
        <f aca="false">COUNTIF(E5:E14,"x")</f>
        <v>0</v>
      </c>
      <c r="F15" s="40" t="n">
        <f aca="false">COUNTIF(F5:F14,"x")</f>
        <v>0</v>
      </c>
      <c r="G15" s="40" t="n">
        <f aca="false">COUNTIF(G5:G14,"x")</f>
        <v>0</v>
      </c>
      <c r="H15" s="40" t="n">
        <f aca="false">COUNTIF(H5:H14,"x")</f>
        <v>0</v>
      </c>
      <c r="I15" s="40" t="n">
        <f aca="false">COUNTIF(I5:I14,"x")</f>
        <v>0</v>
      </c>
    </row>
    <row r="16" customFormat="false" ht="15" hidden="false" customHeight="false" outlineLevel="0" collapsed="false">
      <c r="A16" s="37" t="s">
        <v>435</v>
      </c>
      <c r="B16" s="41" t="str">
        <f aca="false">IF(B15=0,"",IF(AND(B15&gt;=3,B15&lt;=6),"OK","Need 3–6"))</f>
        <v/>
      </c>
      <c r="C16" s="41" t="str">
        <f aca="false">IF(C15=0,"",IF(AND(C15&gt;=3,C15&lt;=6),"OK","Need 3–6"))</f>
        <v/>
      </c>
      <c r="D16" s="41" t="str">
        <f aca="false">IF(D15=0,"",IF(AND(D15&gt;=3,D15&lt;=6),"OK","Need 3–6"))</f>
        <v/>
      </c>
      <c r="E16" s="41" t="str">
        <f aca="false">IF(E15=0,"",IF(AND(E15&gt;=3,E15&lt;=6),"OK","Need 3–6"))</f>
        <v/>
      </c>
      <c r="F16" s="41" t="str">
        <f aca="false">IF(F15=0,"",IF(AND(F15&gt;=3,F15&lt;=6),"OK","Need 3–6"))</f>
        <v/>
      </c>
      <c r="G16" s="41" t="str">
        <f aca="false">IF(G15=0,"",IF(AND(G15&gt;=3,G15&lt;=6),"OK","Need 3–6"))</f>
        <v/>
      </c>
      <c r="H16" s="41" t="str">
        <f aca="false">IF(H15=0,"",IF(AND(H15&gt;=3,H15&lt;=6),"OK","Need 3–6"))</f>
        <v/>
      </c>
      <c r="I16" s="41" t="str">
        <f aca="false">IF(I15=0,"",IF(AND(I15&gt;=3,I15&lt;=6),"OK","Need 3–6"))</f>
        <v/>
      </c>
    </row>
    <row r="19" customFormat="false" ht="15" hidden="false" customHeight="false" outlineLevel="0" collapsed="false">
      <c r="A19" s="3" t="s">
        <v>436</v>
      </c>
    </row>
    <row r="20" customFormat="false" ht="15" hidden="false" customHeight="false" outlineLevel="0" collapsed="false">
      <c r="A20" s="42" t="s">
        <v>437</v>
      </c>
    </row>
    <row r="21" customFormat="false" ht="15" hidden="false" customHeight="false" outlineLevel="0" collapsed="false">
      <c r="A21" s="42" t="s">
        <v>438</v>
      </c>
    </row>
    <row r="22" customFormat="false" ht="15" hidden="false" customHeight="false" outlineLevel="0" collapsed="false">
      <c r="A22" s="42" t="s">
        <v>439</v>
      </c>
    </row>
    <row r="23" customFormat="false" ht="15" hidden="false" customHeight="false" outlineLevel="0" collapsed="false">
      <c r="A23" s="42" t="s">
        <v>440</v>
      </c>
    </row>
    <row r="24" customFormat="false" ht="15" hidden="false" customHeight="false" outlineLevel="0" collapsed="false">
      <c r="A24" s="42" t="s">
        <v>441</v>
      </c>
    </row>
    <row r="25" customFormat="false" ht="15" hidden="false" customHeight="false" outlineLevel="0" collapsed="false">
      <c r="A25" s="42" t="s">
        <v>442</v>
      </c>
    </row>
  </sheetData>
  <conditionalFormatting sqref="B5:I14">
    <cfRule type="cellIs" priority="2" operator="equal" aboveAverage="0" equalAverage="0" bottom="0" percent="0" rank="0" text="" dxfId="12">
      <formula>"x"</formula>
    </cfRule>
  </conditionalFormatting>
  <conditionalFormatting sqref="K5:K14">
    <cfRule type="cellIs" priority="3" operator="equal" aboveAverage="0" equalAverage="0" bottom="0" percent="0" rank="0" text="" dxfId="0">
      <formula>"Done"</formula>
    </cfRule>
    <cfRule type="cellIs" priority="4" operator="equal" aboveAverage="0" equalAverage="0" bottom="0" percent="0" rank="0" text="" dxfId="1">
      <formula>"In progress"</formula>
    </cfRule>
    <cfRule type="cellIs" priority="5" operator="equal" aboveAverage="0" equalAverage="0" bottom="0" percent="0" rank="0" text="" dxfId="2">
      <formula>"Waiting on client"</formula>
    </cfRule>
    <cfRule type="cellIs" priority="6" operator="equal" aboveAverage="0" equalAverage="0" bottom="0" percent="0" rank="0" text="" dxfId="3">
      <formula>"N/A"</formula>
    </cfRule>
    <cfRule type="cellIs" priority="7" operator="equal" aboveAverage="0" equalAverage="0" bottom="0" percent="0" rank="0" text="" dxfId="0">
      <formula>"Live"</formula>
    </cfRule>
    <cfRule type="cellIs" priority="8" operator="equal" aboveAverage="0" equalAverage="0" bottom="0" percent="0" rank="0" text="" dxfId="0">
      <formula>"Pass"</formula>
    </cfRule>
    <cfRule type="cellIs" priority="9" operator="equal" aboveAverage="0" equalAverage="0" bottom="0" percent="0" rank="0" text="" dxfId="0">
      <formula>"OK"</formula>
    </cfRule>
    <cfRule type="expression" priority="10" aboveAverage="0" equalAverage="0" bottom="0" percent="0" rank="0" text="" dxfId="4">
      <formula>OR(LEFT(K5,4)="Fail",LEFT(K5,6)="Behind",LEFT(K5,4)="Need",LEFT(K5,3)="Too",LEFT(K5,3)="Add",LEFT(K5,4)="Trim")</formula>
    </cfRule>
  </conditionalFormatting>
  <conditionalFormatting sqref="B16:I16">
    <cfRule type="cellIs" priority="11" operator="equal" aboveAverage="0" equalAverage="0" bottom="0" percent="0" rank="0" text="" dxfId="0">
      <formula>"Done"</formula>
    </cfRule>
    <cfRule type="cellIs" priority="12" operator="equal" aboveAverage="0" equalAverage="0" bottom="0" percent="0" rank="0" text="" dxfId="1">
      <formula>"In progress"</formula>
    </cfRule>
    <cfRule type="cellIs" priority="13" operator="equal" aboveAverage="0" equalAverage="0" bottom="0" percent="0" rank="0" text="" dxfId="2">
      <formula>"Waiting on client"</formula>
    </cfRule>
    <cfRule type="cellIs" priority="14" operator="equal" aboveAverage="0" equalAverage="0" bottom="0" percent="0" rank="0" text="" dxfId="3">
      <formula>"N/A"</formula>
    </cfRule>
    <cfRule type="cellIs" priority="15" operator="equal" aboveAverage="0" equalAverage="0" bottom="0" percent="0" rank="0" text="" dxfId="0">
      <formula>"Live"</formula>
    </cfRule>
    <cfRule type="cellIs" priority="16" operator="equal" aboveAverage="0" equalAverage="0" bottom="0" percent="0" rank="0" text="" dxfId="0">
      <formula>"Pass"</formula>
    </cfRule>
    <cfRule type="cellIs" priority="17" operator="equal" aboveAverage="0" equalAverage="0" bottom="0" percent="0" rank="0" text="" dxfId="0">
      <formula>"OK"</formula>
    </cfRule>
    <cfRule type="expression" priority="18" aboveAverage="0" equalAverage="0" bottom="0" percent="0" rank="0" text="" dxfId="4">
      <formula>OR(LEFT(B16,4)="Fail",LEFT(B16,6)="Behind",LEFT(B16,4)="Need",LEFT(B16,3)="Too",LEFT(B16,3)="Add",LEFT(B16,4)="Trim")</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J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18"/>
    <col collapsed="false" customWidth="true" hidden="false" outlineLevel="0" max="5" min="4" style="0" width="10"/>
    <col collapsed="false" customWidth="true" hidden="false" outlineLevel="0" max="6" min="6" style="0" width="20"/>
    <col collapsed="false" customWidth="true" hidden="false" outlineLevel="0" max="7" min="7" style="0" width="12"/>
    <col collapsed="false" customWidth="true" hidden="false" outlineLevel="0" max="8" min="8" style="0" width="14"/>
    <col collapsed="false" customWidth="true" hidden="false" outlineLevel="0" max="9" min="9" style="0" width="12"/>
    <col collapsed="false" customWidth="true" hidden="false" outlineLevel="0" max="10" min="10" style="0" width="34"/>
  </cols>
  <sheetData>
    <row r="1" customFormat="false" ht="27.75" hidden="false" customHeight="true" outlineLevel="0" collapsed="false">
      <c r="A1" s="1" t="s">
        <v>213</v>
      </c>
    </row>
    <row r="2" customFormat="false" ht="15" hidden="false" customHeight="false" outlineLevel="0" collapsed="false">
      <c r="A2" s="2" t="s">
        <v>443</v>
      </c>
    </row>
    <row r="3" customFormat="false" ht="15" hidden="false" customHeight="false" outlineLevel="0" collapsed="false">
      <c r="A3" s="6" t="s">
        <v>444</v>
      </c>
      <c r="B3" s="5" t="n">
        <f aca="false">COUNTIF(F9:F120,"Live")</f>
        <v>0</v>
      </c>
    </row>
    <row r="4" customFormat="false" ht="15" hidden="false" customHeight="false" outlineLevel="0" collapsed="false">
      <c r="A4" s="6" t="s">
        <v>445</v>
      </c>
      <c r="B4" s="5" t="n">
        <f aca="false">COUNTIFS(C9:C120,"80/20",F9:F120,"Live")</f>
        <v>0</v>
      </c>
    </row>
    <row r="5" customFormat="false" ht="15" hidden="false" customHeight="false" outlineLevel="0" collapsed="false">
      <c r="A5" s="6" t="s">
        <v>446</v>
      </c>
      <c r="B5" s="5" t="n">
        <f aca="false">COUNTIF(F9:F120,"To do")</f>
        <v>54</v>
      </c>
    </row>
    <row r="6" customFormat="false" ht="15" hidden="false" customHeight="false" outlineLevel="0" collapsed="false">
      <c r="A6" s="6" t="s">
        <v>447</v>
      </c>
      <c r="B6" s="5" t="n">
        <f aca="false">COUNTIF(F9:F120,"Awaiting verification")</f>
        <v>0</v>
      </c>
    </row>
    <row r="8" customFormat="false" ht="30" hidden="false" customHeight="true" outlineLevel="0" collapsed="false">
      <c r="A8" s="8" t="s">
        <v>448</v>
      </c>
      <c r="B8" s="8" t="s">
        <v>377</v>
      </c>
      <c r="C8" s="8" t="s">
        <v>449</v>
      </c>
      <c r="D8" s="8" t="s">
        <v>450</v>
      </c>
      <c r="E8" s="8" t="s">
        <v>451</v>
      </c>
      <c r="F8" s="8" t="s">
        <v>52</v>
      </c>
      <c r="G8" s="8" t="s">
        <v>452</v>
      </c>
      <c r="H8" s="8" t="s">
        <v>453</v>
      </c>
      <c r="I8" s="8" t="s">
        <v>454</v>
      </c>
      <c r="J8" s="8" t="s">
        <v>455</v>
      </c>
    </row>
    <row r="9" customFormat="false" ht="15" hidden="false" customHeight="false" outlineLevel="0" collapsed="false">
      <c r="A9" s="9" t="s">
        <v>456</v>
      </c>
      <c r="B9" s="43" t="s">
        <v>216</v>
      </c>
      <c r="C9" s="5" t="s">
        <v>457</v>
      </c>
      <c r="D9" s="5" t="s">
        <v>458</v>
      </c>
      <c r="E9" s="10"/>
      <c r="F9" s="10" t="s">
        <v>446</v>
      </c>
      <c r="G9" s="10"/>
      <c r="H9" s="10"/>
      <c r="I9" s="12"/>
      <c r="J9" s="10"/>
    </row>
    <row r="10" customFormat="false" ht="15" hidden="false" customHeight="false" outlineLevel="0" collapsed="false">
      <c r="A10" s="9" t="s">
        <v>217</v>
      </c>
      <c r="B10" s="43" t="s">
        <v>219</v>
      </c>
      <c r="C10" s="5" t="s">
        <v>457</v>
      </c>
      <c r="D10" s="5" t="s">
        <v>458</v>
      </c>
      <c r="E10" s="10"/>
      <c r="F10" s="10" t="s">
        <v>446</v>
      </c>
      <c r="G10" s="10"/>
      <c r="H10" s="10"/>
      <c r="I10" s="12"/>
      <c r="J10" s="10"/>
    </row>
    <row r="11" customFormat="false" ht="15" hidden="false" customHeight="false" outlineLevel="0" collapsed="false">
      <c r="A11" s="9" t="s">
        <v>220</v>
      </c>
      <c r="B11" s="43" t="s">
        <v>222</v>
      </c>
      <c r="C11" s="5" t="s">
        <v>457</v>
      </c>
      <c r="D11" s="5" t="s">
        <v>458</v>
      </c>
      <c r="E11" s="10" t="s">
        <v>459</v>
      </c>
      <c r="F11" s="10" t="s">
        <v>446</v>
      </c>
      <c r="G11" s="10"/>
      <c r="H11" s="10"/>
      <c r="I11" s="12"/>
      <c r="J11" s="10"/>
    </row>
    <row r="12" customFormat="false" ht="15" hidden="false" customHeight="false" outlineLevel="0" collapsed="false">
      <c r="A12" s="9" t="s">
        <v>223</v>
      </c>
      <c r="B12" s="43" t="s">
        <v>225</v>
      </c>
      <c r="C12" s="5" t="s">
        <v>457</v>
      </c>
      <c r="D12" s="5" t="s">
        <v>458</v>
      </c>
      <c r="E12" s="10"/>
      <c r="F12" s="10" t="s">
        <v>446</v>
      </c>
      <c r="G12" s="10"/>
      <c r="H12" s="10"/>
      <c r="I12" s="12"/>
      <c r="J12" s="10"/>
    </row>
    <row r="13" customFormat="false" ht="15" hidden="false" customHeight="false" outlineLevel="0" collapsed="false">
      <c r="A13" s="9" t="s">
        <v>460</v>
      </c>
      <c r="B13" s="43" t="s">
        <v>228</v>
      </c>
      <c r="C13" s="5" t="s">
        <v>457</v>
      </c>
      <c r="D13" s="5" t="s">
        <v>461</v>
      </c>
      <c r="E13" s="10"/>
      <c r="F13" s="10" t="s">
        <v>446</v>
      </c>
      <c r="G13" s="10"/>
      <c r="H13" s="10"/>
      <c r="I13" s="12"/>
      <c r="J13" s="10"/>
    </row>
    <row r="14" customFormat="false" ht="15" hidden="false" customHeight="false" outlineLevel="0" collapsed="false">
      <c r="A14" s="10" t="s">
        <v>462</v>
      </c>
      <c r="B14" s="44"/>
      <c r="C14" s="5" t="s">
        <v>463</v>
      </c>
      <c r="D14" s="10"/>
      <c r="E14" s="10"/>
      <c r="F14" s="10" t="s">
        <v>446</v>
      </c>
      <c r="G14" s="10"/>
      <c r="H14" s="10"/>
      <c r="I14" s="12"/>
      <c r="J14" s="10"/>
    </row>
    <row r="15" customFormat="false" ht="15" hidden="false" customHeight="false" outlineLevel="0" collapsed="false">
      <c r="A15" s="10" t="s">
        <v>464</v>
      </c>
      <c r="B15" s="44"/>
      <c r="C15" s="5" t="s">
        <v>463</v>
      </c>
      <c r="D15" s="10"/>
      <c r="E15" s="10"/>
      <c r="F15" s="10" t="s">
        <v>446</v>
      </c>
      <c r="G15" s="10"/>
      <c r="H15" s="10"/>
      <c r="I15" s="12"/>
      <c r="J15" s="10"/>
    </row>
    <row r="16" customFormat="false" ht="15" hidden="false" customHeight="false" outlineLevel="0" collapsed="false">
      <c r="A16" s="10" t="s">
        <v>465</v>
      </c>
      <c r="B16" s="44"/>
      <c r="C16" s="5" t="s">
        <v>466</v>
      </c>
      <c r="D16" s="10"/>
      <c r="E16" s="10"/>
      <c r="F16" s="10" t="s">
        <v>446</v>
      </c>
      <c r="G16" s="10"/>
      <c r="H16" s="10"/>
      <c r="I16" s="12"/>
      <c r="J16" s="10"/>
    </row>
    <row r="17" customFormat="false" ht="15" hidden="false" customHeight="false" outlineLevel="0" collapsed="false">
      <c r="A17" s="5" t="s">
        <v>467</v>
      </c>
      <c r="B17" s="43" t="s">
        <v>468</v>
      </c>
      <c r="C17" s="5" t="s">
        <v>469</v>
      </c>
      <c r="D17" s="5" t="s">
        <v>470</v>
      </c>
      <c r="E17" s="10"/>
      <c r="F17" s="10" t="s">
        <v>446</v>
      </c>
      <c r="G17" s="10"/>
      <c r="H17" s="10"/>
      <c r="I17" s="12"/>
      <c r="J17" s="10"/>
    </row>
    <row r="18" customFormat="false" ht="15" hidden="false" customHeight="false" outlineLevel="0" collapsed="false">
      <c r="A18" s="5" t="s">
        <v>471</v>
      </c>
      <c r="B18" s="43" t="s">
        <v>472</v>
      </c>
      <c r="C18" s="5" t="s">
        <v>469</v>
      </c>
      <c r="D18" s="5" t="s">
        <v>470</v>
      </c>
      <c r="E18" s="10"/>
      <c r="F18" s="10" t="s">
        <v>446</v>
      </c>
      <c r="G18" s="10"/>
      <c r="H18" s="10"/>
      <c r="I18" s="12"/>
      <c r="J18" s="10"/>
    </row>
    <row r="19" customFormat="false" ht="15" hidden="false" customHeight="false" outlineLevel="0" collapsed="false">
      <c r="A19" s="5" t="s">
        <v>473</v>
      </c>
      <c r="B19" s="43" t="s">
        <v>474</v>
      </c>
      <c r="C19" s="5" t="s">
        <v>469</v>
      </c>
      <c r="D19" s="5" t="s">
        <v>470</v>
      </c>
      <c r="E19" s="10"/>
      <c r="F19" s="10" t="s">
        <v>446</v>
      </c>
      <c r="G19" s="10"/>
      <c r="H19" s="10"/>
      <c r="I19" s="12"/>
      <c r="J19" s="10"/>
    </row>
    <row r="20" customFormat="false" ht="15" hidden="false" customHeight="false" outlineLevel="0" collapsed="false">
      <c r="A20" s="5" t="s">
        <v>475</v>
      </c>
      <c r="B20" s="43" t="s">
        <v>476</v>
      </c>
      <c r="C20" s="5" t="s">
        <v>469</v>
      </c>
      <c r="D20" s="5" t="s">
        <v>470</v>
      </c>
      <c r="E20" s="10"/>
      <c r="F20" s="10" t="s">
        <v>446</v>
      </c>
      <c r="G20" s="10"/>
      <c r="H20" s="10"/>
      <c r="I20" s="12"/>
      <c r="J20" s="10"/>
    </row>
    <row r="21" customFormat="false" ht="15" hidden="false" customHeight="false" outlineLevel="0" collapsed="false">
      <c r="A21" s="5" t="s">
        <v>477</v>
      </c>
      <c r="B21" s="43" t="s">
        <v>478</v>
      </c>
      <c r="C21" s="5" t="s">
        <v>469</v>
      </c>
      <c r="D21" s="5" t="s">
        <v>470</v>
      </c>
      <c r="E21" s="10"/>
      <c r="F21" s="10" t="s">
        <v>446</v>
      </c>
      <c r="G21" s="10"/>
      <c r="H21" s="10"/>
      <c r="I21" s="12"/>
      <c r="J21" s="10"/>
    </row>
    <row r="22" customFormat="false" ht="15" hidden="false" customHeight="false" outlineLevel="0" collapsed="false">
      <c r="A22" s="5" t="s">
        <v>479</v>
      </c>
      <c r="B22" s="43" t="s">
        <v>480</v>
      </c>
      <c r="C22" s="5" t="s">
        <v>469</v>
      </c>
      <c r="D22" s="5" t="s">
        <v>481</v>
      </c>
      <c r="E22" s="10"/>
      <c r="F22" s="10" t="s">
        <v>446</v>
      </c>
      <c r="G22" s="10"/>
      <c r="H22" s="10"/>
      <c r="I22" s="12"/>
      <c r="J22" s="10"/>
    </row>
    <row r="23" customFormat="false" ht="15" hidden="false" customHeight="false" outlineLevel="0" collapsed="false">
      <c r="A23" s="5" t="s">
        <v>482</v>
      </c>
      <c r="B23" s="43" t="s">
        <v>483</v>
      </c>
      <c r="C23" s="5" t="s">
        <v>469</v>
      </c>
      <c r="D23" s="5" t="s">
        <v>481</v>
      </c>
      <c r="E23" s="10"/>
      <c r="F23" s="10" t="s">
        <v>446</v>
      </c>
      <c r="G23" s="10"/>
      <c r="H23" s="10"/>
      <c r="I23" s="12"/>
      <c r="J23" s="10"/>
    </row>
    <row r="24" customFormat="false" ht="15" hidden="false" customHeight="false" outlineLevel="0" collapsed="false">
      <c r="A24" s="5" t="s">
        <v>484</v>
      </c>
      <c r="B24" s="43" t="s">
        <v>485</v>
      </c>
      <c r="C24" s="5" t="s">
        <v>469</v>
      </c>
      <c r="D24" s="5" t="s">
        <v>481</v>
      </c>
      <c r="E24" s="10"/>
      <c r="F24" s="10" t="s">
        <v>446</v>
      </c>
      <c r="G24" s="10"/>
      <c r="H24" s="10"/>
      <c r="I24" s="12"/>
      <c r="J24" s="10"/>
    </row>
    <row r="25" customFormat="false" ht="15" hidden="false" customHeight="false" outlineLevel="0" collapsed="false">
      <c r="A25" s="5" t="s">
        <v>486</v>
      </c>
      <c r="B25" s="43" t="s">
        <v>487</v>
      </c>
      <c r="C25" s="5" t="s">
        <v>469</v>
      </c>
      <c r="D25" s="5" t="s">
        <v>481</v>
      </c>
      <c r="E25" s="10"/>
      <c r="F25" s="10" t="s">
        <v>446</v>
      </c>
      <c r="G25" s="10"/>
      <c r="H25" s="10"/>
      <c r="I25" s="12"/>
      <c r="J25" s="10"/>
    </row>
    <row r="26" customFormat="false" ht="15" hidden="false" customHeight="false" outlineLevel="0" collapsed="false">
      <c r="A26" s="5" t="s">
        <v>488</v>
      </c>
      <c r="B26" s="44"/>
      <c r="C26" s="5" t="s">
        <v>489</v>
      </c>
      <c r="D26" s="10"/>
      <c r="E26" s="10"/>
      <c r="F26" s="10" t="s">
        <v>446</v>
      </c>
      <c r="G26" s="10"/>
      <c r="H26" s="10"/>
      <c r="I26" s="12"/>
      <c r="J26" s="10"/>
    </row>
    <row r="27" customFormat="false" ht="15" hidden="false" customHeight="false" outlineLevel="0" collapsed="false">
      <c r="A27" s="5" t="s">
        <v>490</v>
      </c>
      <c r="B27" s="44"/>
      <c r="C27" s="5" t="s">
        <v>489</v>
      </c>
      <c r="D27" s="10"/>
      <c r="E27" s="10"/>
      <c r="F27" s="10" t="s">
        <v>446</v>
      </c>
      <c r="G27" s="10"/>
      <c r="H27" s="10"/>
      <c r="I27" s="12"/>
      <c r="J27" s="10"/>
    </row>
    <row r="28" customFormat="false" ht="15" hidden="false" customHeight="false" outlineLevel="0" collapsed="false">
      <c r="A28" s="5" t="s">
        <v>491</v>
      </c>
      <c r="B28" s="44"/>
      <c r="C28" s="5" t="s">
        <v>489</v>
      </c>
      <c r="D28" s="10"/>
      <c r="E28" s="10"/>
      <c r="F28" s="10" t="s">
        <v>446</v>
      </c>
      <c r="G28" s="10"/>
      <c r="H28" s="10"/>
      <c r="I28" s="12"/>
      <c r="J28" s="10"/>
    </row>
    <row r="29" customFormat="false" ht="15" hidden="false" customHeight="false" outlineLevel="0" collapsed="false">
      <c r="A29" s="5" t="s">
        <v>492</v>
      </c>
      <c r="B29" s="44"/>
      <c r="C29" s="5" t="s">
        <v>489</v>
      </c>
      <c r="D29" s="10"/>
      <c r="E29" s="10"/>
      <c r="F29" s="10" t="s">
        <v>446</v>
      </c>
      <c r="G29" s="10"/>
      <c r="H29" s="10"/>
      <c r="I29" s="12"/>
      <c r="J29" s="10"/>
    </row>
    <row r="30" customFormat="false" ht="15" hidden="false" customHeight="false" outlineLevel="0" collapsed="false">
      <c r="A30" s="5" t="s">
        <v>493</v>
      </c>
      <c r="B30" s="44"/>
      <c r="C30" s="5" t="s">
        <v>489</v>
      </c>
      <c r="D30" s="10"/>
      <c r="E30" s="10"/>
      <c r="F30" s="10" t="s">
        <v>446</v>
      </c>
      <c r="G30" s="10"/>
      <c r="H30" s="10"/>
      <c r="I30" s="12"/>
      <c r="J30" s="10"/>
    </row>
    <row r="31" customFormat="false" ht="15" hidden="false" customHeight="false" outlineLevel="0" collapsed="false">
      <c r="A31" s="5" t="s">
        <v>494</v>
      </c>
      <c r="B31" s="44"/>
      <c r="C31" s="5" t="s">
        <v>489</v>
      </c>
      <c r="D31" s="10"/>
      <c r="E31" s="10"/>
      <c r="F31" s="10" t="s">
        <v>446</v>
      </c>
      <c r="G31" s="10"/>
      <c r="H31" s="10"/>
      <c r="I31" s="12"/>
      <c r="J31" s="10"/>
    </row>
    <row r="32" customFormat="false" ht="15" hidden="false" customHeight="false" outlineLevel="0" collapsed="false">
      <c r="A32" s="5" t="s">
        <v>495</v>
      </c>
      <c r="B32" s="44"/>
      <c r="C32" s="5" t="s">
        <v>489</v>
      </c>
      <c r="D32" s="10"/>
      <c r="E32" s="10"/>
      <c r="F32" s="10" t="s">
        <v>446</v>
      </c>
      <c r="G32" s="10"/>
      <c r="H32" s="10"/>
      <c r="I32" s="12"/>
      <c r="J32" s="10"/>
    </row>
    <row r="33" customFormat="false" ht="15" hidden="false" customHeight="false" outlineLevel="0" collapsed="false">
      <c r="A33" s="5" t="s">
        <v>496</v>
      </c>
      <c r="B33" s="44"/>
      <c r="C33" s="5" t="s">
        <v>489</v>
      </c>
      <c r="D33" s="10"/>
      <c r="E33" s="10"/>
      <c r="F33" s="10" t="s">
        <v>446</v>
      </c>
      <c r="G33" s="10"/>
      <c r="H33" s="10"/>
      <c r="I33" s="12"/>
      <c r="J33" s="10"/>
    </row>
    <row r="34" customFormat="false" ht="15" hidden="false" customHeight="false" outlineLevel="0" collapsed="false">
      <c r="A34" s="5" t="s">
        <v>497</v>
      </c>
      <c r="B34" s="44"/>
      <c r="C34" s="5" t="s">
        <v>489</v>
      </c>
      <c r="D34" s="10"/>
      <c r="E34" s="10"/>
      <c r="F34" s="10" t="s">
        <v>446</v>
      </c>
      <c r="G34" s="10"/>
      <c r="H34" s="10"/>
      <c r="I34" s="12"/>
      <c r="J34" s="10"/>
    </row>
    <row r="35" customFormat="false" ht="15" hidden="false" customHeight="false" outlineLevel="0" collapsed="false">
      <c r="A35" s="5" t="s">
        <v>498</v>
      </c>
      <c r="B35" s="44"/>
      <c r="C35" s="5" t="s">
        <v>489</v>
      </c>
      <c r="D35" s="10"/>
      <c r="E35" s="10"/>
      <c r="F35" s="10" t="s">
        <v>446</v>
      </c>
      <c r="G35" s="10"/>
      <c r="H35" s="10"/>
      <c r="I35" s="12"/>
      <c r="J35" s="10"/>
    </row>
    <row r="36" customFormat="false" ht="15" hidden="false" customHeight="false" outlineLevel="0" collapsed="false">
      <c r="A36" s="5" t="s">
        <v>499</v>
      </c>
      <c r="B36" s="44"/>
      <c r="C36" s="5" t="s">
        <v>489</v>
      </c>
      <c r="D36" s="10"/>
      <c r="E36" s="10"/>
      <c r="F36" s="10" t="s">
        <v>446</v>
      </c>
      <c r="G36" s="10"/>
      <c r="H36" s="10"/>
      <c r="I36" s="12"/>
      <c r="J36" s="10"/>
    </row>
    <row r="37" customFormat="false" ht="15" hidden="false" customHeight="false" outlineLevel="0" collapsed="false">
      <c r="A37" s="5" t="s">
        <v>500</v>
      </c>
      <c r="B37" s="44"/>
      <c r="C37" s="5" t="s">
        <v>489</v>
      </c>
      <c r="D37" s="10"/>
      <c r="E37" s="10"/>
      <c r="F37" s="10" t="s">
        <v>446</v>
      </c>
      <c r="G37" s="10"/>
      <c r="H37" s="10"/>
      <c r="I37" s="12"/>
      <c r="J37" s="10"/>
    </row>
    <row r="38" customFormat="false" ht="15" hidden="false" customHeight="false" outlineLevel="0" collapsed="false">
      <c r="A38" s="5" t="s">
        <v>501</v>
      </c>
      <c r="B38" s="44"/>
      <c r="C38" s="5" t="s">
        <v>489</v>
      </c>
      <c r="D38" s="10"/>
      <c r="E38" s="10"/>
      <c r="F38" s="10" t="s">
        <v>446</v>
      </c>
      <c r="G38" s="10"/>
      <c r="H38" s="10"/>
      <c r="I38" s="12"/>
      <c r="J38" s="10"/>
    </row>
    <row r="39" customFormat="false" ht="15" hidden="false" customHeight="false" outlineLevel="0" collapsed="false">
      <c r="A39" s="5" t="s">
        <v>502</v>
      </c>
      <c r="B39" s="44"/>
      <c r="C39" s="5" t="s">
        <v>489</v>
      </c>
      <c r="D39" s="10"/>
      <c r="E39" s="10"/>
      <c r="F39" s="10" t="s">
        <v>446</v>
      </c>
      <c r="G39" s="10"/>
      <c r="H39" s="10"/>
      <c r="I39" s="12"/>
      <c r="J39" s="10"/>
    </row>
    <row r="40" customFormat="false" ht="15" hidden="false" customHeight="false" outlineLevel="0" collapsed="false">
      <c r="A40" s="5" t="s">
        <v>503</v>
      </c>
      <c r="B40" s="44"/>
      <c r="C40" s="5" t="s">
        <v>489</v>
      </c>
      <c r="D40" s="10"/>
      <c r="E40" s="10"/>
      <c r="F40" s="10" t="s">
        <v>446</v>
      </c>
      <c r="G40" s="10"/>
      <c r="H40" s="10"/>
      <c r="I40" s="12"/>
      <c r="J40" s="10"/>
    </row>
    <row r="41" customFormat="false" ht="15" hidden="false" customHeight="false" outlineLevel="0" collapsed="false">
      <c r="A41" s="5" t="s">
        <v>504</v>
      </c>
      <c r="B41" s="44"/>
      <c r="C41" s="5" t="s">
        <v>489</v>
      </c>
      <c r="D41" s="10"/>
      <c r="E41" s="10"/>
      <c r="F41" s="10" t="s">
        <v>446</v>
      </c>
      <c r="G41" s="10"/>
      <c r="H41" s="10"/>
      <c r="I41" s="12"/>
      <c r="J41" s="10"/>
    </row>
    <row r="42" customFormat="false" ht="15" hidden="false" customHeight="false" outlineLevel="0" collapsed="false">
      <c r="A42" s="5" t="s">
        <v>505</v>
      </c>
      <c r="B42" s="44"/>
      <c r="C42" s="5" t="s">
        <v>489</v>
      </c>
      <c r="D42" s="10"/>
      <c r="E42" s="10"/>
      <c r="F42" s="10" t="s">
        <v>446</v>
      </c>
      <c r="G42" s="10"/>
      <c r="H42" s="10"/>
      <c r="I42" s="12"/>
      <c r="J42" s="10"/>
    </row>
    <row r="43" customFormat="false" ht="15" hidden="false" customHeight="false" outlineLevel="0" collapsed="false">
      <c r="A43" s="5" t="s">
        <v>506</v>
      </c>
      <c r="B43" s="44"/>
      <c r="C43" s="5" t="s">
        <v>489</v>
      </c>
      <c r="D43" s="10"/>
      <c r="E43" s="10"/>
      <c r="F43" s="10" t="s">
        <v>446</v>
      </c>
      <c r="G43" s="10"/>
      <c r="H43" s="10"/>
      <c r="I43" s="12"/>
      <c r="J43" s="10"/>
    </row>
    <row r="44" customFormat="false" ht="15" hidden="false" customHeight="false" outlineLevel="0" collapsed="false">
      <c r="A44" s="5" t="s">
        <v>507</v>
      </c>
      <c r="B44" s="44"/>
      <c r="C44" s="5" t="s">
        <v>489</v>
      </c>
      <c r="D44" s="10"/>
      <c r="E44" s="10"/>
      <c r="F44" s="10" t="s">
        <v>446</v>
      </c>
      <c r="G44" s="10"/>
      <c r="H44" s="10"/>
      <c r="I44" s="12"/>
      <c r="J44" s="10"/>
    </row>
    <row r="45" customFormat="false" ht="15" hidden="false" customHeight="false" outlineLevel="0" collapsed="false">
      <c r="A45" s="5" t="s">
        <v>508</v>
      </c>
      <c r="B45" s="44"/>
      <c r="C45" s="5" t="s">
        <v>489</v>
      </c>
      <c r="D45" s="10"/>
      <c r="E45" s="10"/>
      <c r="F45" s="10" t="s">
        <v>446</v>
      </c>
      <c r="G45" s="10"/>
      <c r="H45" s="10"/>
      <c r="I45" s="12"/>
      <c r="J45" s="10"/>
    </row>
    <row r="46" customFormat="false" ht="15" hidden="false" customHeight="false" outlineLevel="0" collapsed="false">
      <c r="A46" s="5" t="s">
        <v>509</v>
      </c>
      <c r="B46" s="44"/>
      <c r="C46" s="5" t="s">
        <v>489</v>
      </c>
      <c r="D46" s="10"/>
      <c r="E46" s="10"/>
      <c r="F46" s="10" t="s">
        <v>446</v>
      </c>
      <c r="G46" s="10"/>
      <c r="H46" s="10"/>
      <c r="I46" s="12"/>
      <c r="J46" s="10"/>
    </row>
    <row r="47" customFormat="false" ht="15" hidden="false" customHeight="false" outlineLevel="0" collapsed="false">
      <c r="A47" s="5" t="s">
        <v>510</v>
      </c>
      <c r="B47" s="44"/>
      <c r="C47" s="5" t="s">
        <v>489</v>
      </c>
      <c r="D47" s="10"/>
      <c r="E47" s="10"/>
      <c r="F47" s="10" t="s">
        <v>446</v>
      </c>
      <c r="G47" s="10"/>
      <c r="H47" s="10"/>
      <c r="I47" s="12"/>
      <c r="J47" s="10"/>
    </row>
    <row r="48" customFormat="false" ht="15" hidden="false" customHeight="false" outlineLevel="0" collapsed="false">
      <c r="A48" s="5" t="s">
        <v>511</v>
      </c>
      <c r="B48" s="44"/>
      <c r="C48" s="5" t="s">
        <v>489</v>
      </c>
      <c r="D48" s="10"/>
      <c r="E48" s="10"/>
      <c r="F48" s="10" t="s">
        <v>446</v>
      </c>
      <c r="G48" s="10"/>
      <c r="H48" s="10"/>
      <c r="I48" s="12"/>
      <c r="J48" s="10"/>
    </row>
    <row r="49" customFormat="false" ht="15" hidden="false" customHeight="false" outlineLevel="0" collapsed="false">
      <c r="A49" s="5" t="s">
        <v>512</v>
      </c>
      <c r="B49" s="44"/>
      <c r="C49" s="5" t="s">
        <v>489</v>
      </c>
      <c r="D49" s="10"/>
      <c r="E49" s="10"/>
      <c r="F49" s="10" t="s">
        <v>446</v>
      </c>
      <c r="G49" s="10"/>
      <c r="H49" s="10"/>
      <c r="I49" s="12"/>
      <c r="J49" s="10"/>
    </row>
    <row r="50" customFormat="false" ht="15" hidden="false" customHeight="false" outlineLevel="0" collapsed="false">
      <c r="A50" s="5" t="s">
        <v>513</v>
      </c>
      <c r="B50" s="44"/>
      <c r="C50" s="5" t="s">
        <v>489</v>
      </c>
      <c r="D50" s="10"/>
      <c r="E50" s="10"/>
      <c r="F50" s="10" t="s">
        <v>446</v>
      </c>
      <c r="G50" s="10"/>
      <c r="H50" s="10"/>
      <c r="I50" s="12"/>
      <c r="J50" s="10"/>
    </row>
    <row r="51" customFormat="false" ht="15" hidden="false" customHeight="false" outlineLevel="0" collapsed="false">
      <c r="A51" s="5" t="s">
        <v>514</v>
      </c>
      <c r="B51" s="44"/>
      <c r="C51" s="5" t="s">
        <v>489</v>
      </c>
      <c r="D51" s="10"/>
      <c r="E51" s="10"/>
      <c r="F51" s="10" t="s">
        <v>446</v>
      </c>
      <c r="G51" s="10"/>
      <c r="H51" s="10"/>
      <c r="I51" s="12"/>
      <c r="J51" s="10"/>
    </row>
    <row r="52" customFormat="false" ht="15" hidden="false" customHeight="false" outlineLevel="0" collapsed="false">
      <c r="A52" s="5" t="s">
        <v>515</v>
      </c>
      <c r="B52" s="44"/>
      <c r="C52" s="5" t="s">
        <v>489</v>
      </c>
      <c r="D52" s="10"/>
      <c r="E52" s="10"/>
      <c r="F52" s="10" t="s">
        <v>446</v>
      </c>
      <c r="G52" s="10"/>
      <c r="H52" s="10"/>
      <c r="I52" s="12"/>
      <c r="J52" s="10"/>
    </row>
    <row r="53" customFormat="false" ht="15" hidden="false" customHeight="false" outlineLevel="0" collapsed="false">
      <c r="A53" s="5" t="s">
        <v>516</v>
      </c>
      <c r="B53" s="44"/>
      <c r="C53" s="5" t="s">
        <v>489</v>
      </c>
      <c r="D53" s="10"/>
      <c r="E53" s="10"/>
      <c r="F53" s="10" t="s">
        <v>446</v>
      </c>
      <c r="G53" s="10"/>
      <c r="H53" s="10"/>
      <c r="I53" s="12"/>
      <c r="J53" s="10"/>
    </row>
    <row r="54" customFormat="false" ht="15" hidden="false" customHeight="false" outlineLevel="0" collapsed="false">
      <c r="A54" s="5" t="s">
        <v>517</v>
      </c>
      <c r="B54" s="44"/>
      <c r="C54" s="5" t="s">
        <v>489</v>
      </c>
      <c r="D54" s="10"/>
      <c r="E54" s="10"/>
      <c r="F54" s="10" t="s">
        <v>446</v>
      </c>
      <c r="G54" s="10"/>
      <c r="H54" s="10"/>
      <c r="I54" s="12"/>
      <c r="J54" s="10"/>
    </row>
    <row r="55" customFormat="false" ht="15" hidden="false" customHeight="false" outlineLevel="0" collapsed="false">
      <c r="A55" s="5" t="s">
        <v>518</v>
      </c>
      <c r="B55" s="44"/>
      <c r="C55" s="5" t="s">
        <v>489</v>
      </c>
      <c r="D55" s="10"/>
      <c r="E55" s="10"/>
      <c r="F55" s="10" t="s">
        <v>446</v>
      </c>
      <c r="G55" s="10"/>
      <c r="H55" s="10"/>
      <c r="I55" s="12"/>
      <c r="J55" s="10"/>
    </row>
    <row r="56" customFormat="false" ht="15" hidden="false" customHeight="false" outlineLevel="0" collapsed="false">
      <c r="A56" s="5" t="s">
        <v>519</v>
      </c>
      <c r="B56" s="44"/>
      <c r="C56" s="5" t="s">
        <v>489</v>
      </c>
      <c r="D56" s="10"/>
      <c r="E56" s="10"/>
      <c r="F56" s="10" t="s">
        <v>446</v>
      </c>
      <c r="G56" s="10"/>
      <c r="H56" s="10"/>
      <c r="I56" s="12"/>
      <c r="J56" s="10"/>
    </row>
    <row r="57" customFormat="false" ht="15" hidden="false" customHeight="false" outlineLevel="0" collapsed="false">
      <c r="A57" s="5" t="s">
        <v>520</v>
      </c>
      <c r="B57" s="44"/>
      <c r="C57" s="5" t="s">
        <v>489</v>
      </c>
      <c r="D57" s="10"/>
      <c r="E57" s="10"/>
      <c r="F57" s="10" t="s">
        <v>446</v>
      </c>
      <c r="G57" s="10"/>
      <c r="H57" s="10"/>
      <c r="I57" s="12"/>
      <c r="J57" s="10"/>
    </row>
    <row r="58" customFormat="false" ht="15" hidden="false" customHeight="false" outlineLevel="0" collapsed="false">
      <c r="A58" s="5" t="s">
        <v>521</v>
      </c>
      <c r="B58" s="44"/>
      <c r="C58" s="5" t="s">
        <v>489</v>
      </c>
      <c r="D58" s="10"/>
      <c r="E58" s="10"/>
      <c r="F58" s="10" t="s">
        <v>446</v>
      </c>
      <c r="G58" s="10"/>
      <c r="H58" s="10"/>
      <c r="I58" s="12"/>
      <c r="J58" s="10"/>
    </row>
    <row r="59" customFormat="false" ht="15" hidden="false" customHeight="false" outlineLevel="0" collapsed="false">
      <c r="A59" s="5" t="s">
        <v>522</v>
      </c>
      <c r="B59" s="44"/>
      <c r="C59" s="5" t="s">
        <v>489</v>
      </c>
      <c r="D59" s="10"/>
      <c r="E59" s="10"/>
      <c r="F59" s="10" t="s">
        <v>446</v>
      </c>
      <c r="G59" s="10"/>
      <c r="H59" s="10"/>
      <c r="I59" s="12"/>
      <c r="J59" s="10"/>
    </row>
    <row r="60" customFormat="false" ht="15" hidden="false" customHeight="false" outlineLevel="0" collapsed="false">
      <c r="A60" s="5" t="s">
        <v>523</v>
      </c>
      <c r="B60" s="43" t="s">
        <v>100</v>
      </c>
      <c r="C60" s="5" t="s">
        <v>524</v>
      </c>
      <c r="D60" s="5" t="s">
        <v>458</v>
      </c>
      <c r="E60" s="10" t="s">
        <v>525</v>
      </c>
      <c r="F60" s="10" t="s">
        <v>446</v>
      </c>
      <c r="G60" s="10"/>
      <c r="H60" s="10"/>
      <c r="I60" s="12"/>
      <c r="J60" s="10"/>
    </row>
    <row r="61" customFormat="false" ht="15" hidden="false" customHeight="false" outlineLevel="0" collapsed="false">
      <c r="A61" s="5" t="s">
        <v>526</v>
      </c>
      <c r="B61" s="44"/>
      <c r="C61" s="5" t="s">
        <v>524</v>
      </c>
      <c r="D61" s="5" t="s">
        <v>458</v>
      </c>
      <c r="E61" s="10"/>
      <c r="F61" s="10" t="s">
        <v>446</v>
      </c>
      <c r="G61" s="10"/>
      <c r="H61" s="10"/>
      <c r="I61" s="12"/>
      <c r="J61" s="10"/>
    </row>
    <row r="62" customFormat="false" ht="15" hidden="false" customHeight="false" outlineLevel="0" collapsed="false">
      <c r="A62" s="5" t="s">
        <v>527</v>
      </c>
      <c r="B62" s="44"/>
      <c r="C62" s="5" t="s">
        <v>524</v>
      </c>
      <c r="D62" s="5" t="s">
        <v>458</v>
      </c>
      <c r="E62" s="10"/>
      <c r="F62" s="10" t="s">
        <v>446</v>
      </c>
      <c r="G62" s="10"/>
      <c r="H62" s="10"/>
      <c r="I62" s="12"/>
      <c r="J62" s="10"/>
    </row>
    <row r="63" customFormat="false" ht="15" hidden="false" customHeight="false" outlineLevel="0" collapsed="false">
      <c r="A63" s="10"/>
      <c r="B63" s="10"/>
      <c r="C63" s="10"/>
      <c r="D63" s="10"/>
      <c r="E63" s="10"/>
      <c r="F63" s="10"/>
      <c r="G63" s="10"/>
      <c r="H63" s="10"/>
      <c r="I63" s="10"/>
      <c r="J63" s="10"/>
    </row>
    <row r="64" customFormat="false" ht="15" hidden="false" customHeight="false" outlineLevel="0" collapsed="false">
      <c r="A64" s="10"/>
      <c r="B64" s="10"/>
      <c r="C64" s="10"/>
      <c r="D64" s="10"/>
      <c r="E64" s="10"/>
      <c r="F64" s="10"/>
      <c r="G64" s="10"/>
      <c r="H64" s="10"/>
      <c r="I64" s="10"/>
      <c r="J64" s="10"/>
    </row>
    <row r="65" customFormat="false" ht="15" hidden="false" customHeight="false" outlineLevel="0" collapsed="false">
      <c r="A65" s="10"/>
      <c r="B65" s="10"/>
      <c r="C65" s="10"/>
      <c r="D65" s="10"/>
      <c r="E65" s="10"/>
      <c r="F65" s="10"/>
      <c r="G65" s="10"/>
      <c r="H65" s="10"/>
      <c r="I65" s="10"/>
      <c r="J65" s="10"/>
    </row>
    <row r="66" customFormat="false" ht="15" hidden="false" customHeight="false" outlineLevel="0" collapsed="false">
      <c r="A66" s="10"/>
      <c r="B66" s="10"/>
      <c r="C66" s="10"/>
      <c r="D66" s="10"/>
      <c r="E66" s="10"/>
      <c r="F66" s="10"/>
      <c r="G66" s="10"/>
      <c r="H66" s="10"/>
      <c r="I66" s="10"/>
      <c r="J66" s="10"/>
    </row>
    <row r="67" customFormat="false" ht="15" hidden="false" customHeight="false" outlineLevel="0" collapsed="false">
      <c r="A67" s="10"/>
      <c r="B67" s="10"/>
      <c r="C67" s="10"/>
      <c r="D67" s="10"/>
      <c r="E67" s="10"/>
      <c r="F67" s="10"/>
      <c r="G67" s="10"/>
      <c r="H67" s="10"/>
      <c r="I67" s="10"/>
      <c r="J67" s="10"/>
    </row>
    <row r="68" customFormat="false" ht="15" hidden="false" customHeight="false" outlineLevel="0" collapsed="false">
      <c r="A68" s="10"/>
      <c r="B68" s="10"/>
      <c r="C68" s="10"/>
      <c r="D68" s="10"/>
      <c r="E68" s="10"/>
      <c r="F68" s="10"/>
      <c r="G68" s="10"/>
      <c r="H68" s="10"/>
      <c r="I68" s="10"/>
      <c r="J68" s="10"/>
    </row>
    <row r="69" customFormat="false" ht="15" hidden="false" customHeight="false" outlineLevel="0" collapsed="false">
      <c r="A69" s="10"/>
      <c r="B69" s="10"/>
      <c r="C69" s="10"/>
      <c r="D69" s="10"/>
      <c r="E69" s="10"/>
      <c r="F69" s="10"/>
      <c r="G69" s="10"/>
      <c r="H69" s="10"/>
      <c r="I69" s="10"/>
      <c r="J69" s="10"/>
    </row>
    <row r="70" customFormat="false" ht="15" hidden="false" customHeight="false" outlineLevel="0" collapsed="false">
      <c r="A70" s="10"/>
      <c r="B70" s="10"/>
      <c r="C70" s="10"/>
      <c r="D70" s="10"/>
      <c r="E70" s="10"/>
      <c r="F70" s="10"/>
      <c r="G70" s="10"/>
      <c r="H70" s="10"/>
      <c r="I70" s="10"/>
      <c r="J70" s="10"/>
    </row>
    <row r="71" customFormat="false" ht="15" hidden="false" customHeight="false" outlineLevel="0" collapsed="false">
      <c r="A71" s="10"/>
      <c r="B71" s="10"/>
      <c r="C71" s="10"/>
      <c r="D71" s="10"/>
      <c r="E71" s="10"/>
      <c r="F71" s="10"/>
      <c r="G71" s="10"/>
      <c r="H71" s="10"/>
      <c r="I71" s="10"/>
      <c r="J71" s="10"/>
    </row>
    <row r="72" customFormat="false" ht="15" hidden="false" customHeight="false" outlineLevel="0" collapsed="false">
      <c r="A72" s="10"/>
      <c r="B72" s="10"/>
      <c r="C72" s="10"/>
      <c r="D72" s="10"/>
      <c r="E72" s="10"/>
      <c r="F72" s="10"/>
      <c r="G72" s="10"/>
      <c r="H72" s="10"/>
      <c r="I72" s="10"/>
      <c r="J72" s="10"/>
    </row>
  </sheetData>
  <autoFilter ref="A8:J73"/>
  <conditionalFormatting sqref="F9:F73">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"Waiting on client"</formula>
    </cfRule>
    <cfRule type="cellIs" priority="5" operator="equal" aboveAverage="0" equalAverage="0" bottom="0" percent="0" rank="0" text="" dxfId="3">
      <formula>"N/A"</formula>
    </cfRule>
    <cfRule type="cellIs" priority="6" operator="equal" aboveAverage="0" equalAverage="0" bottom="0" percent="0" rank="0" text="" dxfId="0">
      <formula>"Live"</formula>
    </cfRule>
    <cfRule type="cellIs" priority="7" operator="equal" aboveAverage="0" equalAverage="0" bottom="0" percent="0" rank="0" text="" dxfId="0">
      <formula>"Pass"</formula>
    </cfRule>
    <cfRule type="cellIs" priority="8" operator="equal" aboveAverage="0" equalAverage="0" bottom="0" percent="0" rank="0" text="" dxfId="0">
      <formula>"OK"</formula>
    </cfRule>
  </conditionalFormatting>
  <dataValidations count="3">
    <dataValidation allowBlank="true" error="Pick an option from the list." errorStyle="stop" errorTitle="Invalid value" operator="between" showDropDown="false" showErrorMessage="false" showInputMessage="false" sqref="F9:F73" type="list">
      <formula1>"To do,Submitted,Awaiting verification,Live,N/A"</formula1>
      <formula2>0</formula2>
    </dataValidation>
    <dataValidation allowBlank="true" error="Pick an option from the list." errorStyle="stop" errorTitle="Invalid value" operator="between" showDropDown="false" showErrorMessage="false" showInputMessage="false" sqref="G9:H73" type="list">
      <formula1>"Yes,No"</formula1>
      <formula2>0</formula2>
    </dataValidation>
    <dataValidation allowBlank="true" error="Pick an option from the list." errorStyle="stop" errorTitle="Invalid value" operator="between" showDropDown="false" showErrorMessage="false" showInputMessage="false" sqref="C9:C73" type="list">
      <formula1>"80/20,Keyword directory,Competitor link,AI suggestion,Directory,Additional source,Paid"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40"/>
    <col collapsed="false" customWidth="true" hidden="false" outlineLevel="0" max="4" min="4" style="0" width="30"/>
    <col collapsed="false" customWidth="true" hidden="false" outlineLevel="0" max="8" min="5" style="0" width="11"/>
    <col collapsed="false" customWidth="true" hidden="false" outlineLevel="0" max="10" min="9" style="0" width="12"/>
    <col collapsed="false" customWidth="true" hidden="false" outlineLevel="0" max="11" min="11" style="0" width="34"/>
  </cols>
  <sheetData>
    <row r="1" customFormat="false" ht="27.75" hidden="false" customHeight="true" outlineLevel="0" collapsed="false">
      <c r="A1" s="1" t="s">
        <v>528</v>
      </c>
    </row>
    <row r="2" customFormat="false" ht="15" hidden="false" customHeight="false" outlineLevel="0" collapsed="false">
      <c r="A2" s="2" t="s">
        <v>529</v>
      </c>
    </row>
    <row r="3" customFormat="false" ht="15" hidden="false" customHeight="false" outlineLevel="0" collapsed="false">
      <c r="A3" s="6" t="s">
        <v>530</v>
      </c>
      <c r="B3" s="6"/>
      <c r="C3" s="5" t="n">
        <f aca="false">COUNTIF(E9:E34,"Yes")</f>
        <v>0</v>
      </c>
    </row>
    <row r="4" customFormat="false" ht="15" hidden="false" customHeight="false" outlineLevel="0" collapsed="false">
      <c r="A4" s="6" t="s">
        <v>531</v>
      </c>
      <c r="B4" s="6"/>
      <c r="C4" s="5" t="n">
        <f aca="false">COUNTIF(F9:F34,"Yes")</f>
        <v>0</v>
      </c>
    </row>
    <row r="5" customFormat="false" ht="15" hidden="false" customHeight="false" outlineLevel="0" collapsed="false">
      <c r="A5" s="6" t="s">
        <v>532</v>
      </c>
      <c r="B5" s="6"/>
      <c r="C5" s="5" t="n">
        <f aca="false">SUM(G9:G34)</f>
        <v>0</v>
      </c>
    </row>
    <row r="6" customFormat="false" ht="15" hidden="false" customHeight="false" outlineLevel="0" collapsed="false">
      <c r="A6" s="6" t="s">
        <v>533</v>
      </c>
      <c r="B6" s="6"/>
      <c r="C6" s="5" t="n">
        <f aca="false">SUM(I9:I34)</f>
        <v>0</v>
      </c>
    </row>
    <row r="8" customFormat="false" ht="30" hidden="false" customHeight="true" outlineLevel="0" collapsed="false">
      <c r="A8" s="8" t="s">
        <v>82</v>
      </c>
      <c r="B8" s="8" t="s">
        <v>534</v>
      </c>
      <c r="C8" s="8" t="s">
        <v>535</v>
      </c>
      <c r="D8" s="8" t="s">
        <v>536</v>
      </c>
      <c r="E8" s="8" t="s">
        <v>537</v>
      </c>
      <c r="F8" s="8" t="s">
        <v>538</v>
      </c>
      <c r="G8" s="8" t="s">
        <v>532</v>
      </c>
      <c r="H8" s="8" t="s">
        <v>539</v>
      </c>
      <c r="I8" s="8" t="s">
        <v>533</v>
      </c>
      <c r="J8" s="8" t="s">
        <v>540</v>
      </c>
      <c r="K8" s="8" t="s">
        <v>90</v>
      </c>
    </row>
    <row r="9" customFormat="false" ht="15" hidden="false" customHeight="false" outlineLevel="0" collapsed="false">
      <c r="A9" s="9" t="n">
        <v>1</v>
      </c>
      <c r="B9" s="45" t="str">
        <f aca="false">IF('Start Here'!$C$19="","",'Start Here'!$C$19+0)</f>
        <v/>
      </c>
      <c r="C9" s="5" t="s">
        <v>101</v>
      </c>
      <c r="D9" s="18" t="s">
        <v>541</v>
      </c>
      <c r="E9" s="10"/>
      <c r="F9" s="10"/>
      <c r="G9" s="10"/>
      <c r="H9" s="10"/>
      <c r="I9" s="10"/>
      <c r="J9" s="10"/>
      <c r="K9" s="10"/>
    </row>
    <row r="10" customFormat="false" ht="15" hidden="false" customHeight="false" outlineLevel="0" collapsed="false">
      <c r="A10" s="9" t="n">
        <v>2</v>
      </c>
      <c r="B10" s="45" t="str">
        <f aca="false">IF('Start Here'!$C$19="","",'Start Here'!$C$19+7)</f>
        <v/>
      </c>
      <c r="C10" s="5" t="s">
        <v>542</v>
      </c>
      <c r="D10" s="18" t="s">
        <v>543</v>
      </c>
      <c r="E10" s="10"/>
      <c r="F10" s="10"/>
      <c r="G10" s="10"/>
      <c r="H10" s="10"/>
      <c r="I10" s="10"/>
      <c r="J10" s="10"/>
      <c r="K10" s="10"/>
    </row>
    <row r="11" customFormat="false" ht="15" hidden="false" customHeight="false" outlineLevel="0" collapsed="false">
      <c r="A11" s="9" t="n">
        <v>3</v>
      </c>
      <c r="B11" s="45" t="str">
        <f aca="false">IF('Start Here'!$C$19="","",'Start Here'!$C$19+14)</f>
        <v/>
      </c>
      <c r="C11" s="5" t="s">
        <v>544</v>
      </c>
      <c r="D11" s="18" t="s">
        <v>545</v>
      </c>
      <c r="E11" s="10"/>
      <c r="F11" s="10"/>
      <c r="G11" s="10"/>
      <c r="H11" s="10"/>
      <c r="I11" s="10"/>
      <c r="J11" s="10"/>
      <c r="K11" s="10"/>
    </row>
    <row r="12" customFormat="false" ht="15" hidden="false" customHeight="false" outlineLevel="0" collapsed="false">
      <c r="A12" s="9" t="n">
        <v>4</v>
      </c>
      <c r="B12" s="45" t="str">
        <f aca="false">IF('Start Here'!$C$19="","",'Start Here'!$C$19+21)</f>
        <v/>
      </c>
      <c r="C12" s="5" t="s">
        <v>546</v>
      </c>
      <c r="D12" s="18" t="s">
        <v>547</v>
      </c>
      <c r="E12" s="10"/>
      <c r="F12" s="10"/>
      <c r="G12" s="10"/>
      <c r="H12" s="10"/>
      <c r="I12" s="10"/>
      <c r="J12" s="10"/>
      <c r="K12" s="10"/>
    </row>
    <row r="13" customFormat="false" ht="15" hidden="false" customHeight="false" outlineLevel="0" collapsed="false">
      <c r="A13" s="9" t="n">
        <v>5</v>
      </c>
      <c r="B13" s="45" t="str">
        <f aca="false">IF('Start Here'!$C$19="","",'Start Here'!$C$19+28)</f>
        <v/>
      </c>
      <c r="C13" s="5" t="s">
        <v>548</v>
      </c>
      <c r="D13" s="18" t="s">
        <v>549</v>
      </c>
      <c r="E13" s="10"/>
      <c r="F13" s="10"/>
      <c r="G13" s="10"/>
      <c r="H13" s="10"/>
      <c r="I13" s="10"/>
      <c r="J13" s="10"/>
      <c r="K13" s="10"/>
    </row>
    <row r="14" customFormat="false" ht="15" hidden="false" customHeight="false" outlineLevel="0" collapsed="false">
      <c r="A14" s="9" t="n">
        <v>6</v>
      </c>
      <c r="B14" s="45" t="str">
        <f aca="false">IF('Start Here'!$C$19="","",'Start Here'!$C$19+35)</f>
        <v/>
      </c>
      <c r="C14" s="5" t="s">
        <v>550</v>
      </c>
      <c r="D14" s="18" t="s">
        <v>551</v>
      </c>
      <c r="E14" s="10"/>
      <c r="F14" s="10"/>
      <c r="G14" s="10"/>
      <c r="H14" s="10"/>
      <c r="I14" s="10"/>
      <c r="J14" s="10"/>
      <c r="K14" s="10"/>
    </row>
    <row r="15" customFormat="false" ht="15" hidden="false" customHeight="false" outlineLevel="0" collapsed="false">
      <c r="A15" s="9" t="n">
        <v>7</v>
      </c>
      <c r="B15" s="45" t="str">
        <f aca="false">IF('Start Here'!$C$19="","",'Start Here'!$C$19+42)</f>
        <v/>
      </c>
      <c r="C15" s="5" t="s">
        <v>552</v>
      </c>
      <c r="D15" s="18" t="s">
        <v>553</v>
      </c>
      <c r="E15" s="10"/>
      <c r="F15" s="10"/>
      <c r="G15" s="10"/>
      <c r="H15" s="10"/>
      <c r="I15" s="10"/>
      <c r="J15" s="10"/>
      <c r="K15" s="10"/>
    </row>
    <row r="16" customFormat="false" ht="15" hidden="false" customHeight="false" outlineLevel="0" collapsed="false">
      <c r="A16" s="9" t="n">
        <v>8</v>
      </c>
      <c r="B16" s="45" t="str">
        <f aca="false">IF('Start Here'!$C$19="","",'Start Here'!$C$19+49)</f>
        <v/>
      </c>
      <c r="C16" s="5" t="s">
        <v>554</v>
      </c>
      <c r="D16" s="18" t="s">
        <v>555</v>
      </c>
      <c r="E16" s="10"/>
      <c r="F16" s="10"/>
      <c r="G16" s="10"/>
      <c r="H16" s="10"/>
      <c r="I16" s="10"/>
      <c r="J16" s="10"/>
      <c r="K16" s="10"/>
    </row>
    <row r="17" customFormat="false" ht="15" hidden="false" customHeight="false" outlineLevel="0" collapsed="false">
      <c r="A17" s="9" t="n">
        <v>9</v>
      </c>
      <c r="B17" s="45" t="str">
        <f aca="false">IF('Start Here'!$C$19="","",'Start Here'!$C$19+56)</f>
        <v/>
      </c>
      <c r="C17" s="5" t="s">
        <v>556</v>
      </c>
      <c r="D17" s="18" t="s">
        <v>557</v>
      </c>
      <c r="E17" s="10"/>
      <c r="F17" s="10"/>
      <c r="G17" s="10"/>
      <c r="H17" s="10"/>
      <c r="I17" s="10"/>
      <c r="J17" s="10"/>
      <c r="K17" s="10"/>
    </row>
    <row r="18" customFormat="false" ht="15" hidden="false" customHeight="false" outlineLevel="0" collapsed="false">
      <c r="A18" s="9" t="n">
        <v>10</v>
      </c>
      <c r="B18" s="45" t="str">
        <f aca="false">IF('Start Here'!$C$19="","",'Start Here'!$C$19+63)</f>
        <v/>
      </c>
      <c r="C18" s="5" t="s">
        <v>558</v>
      </c>
      <c r="D18" s="18" t="s">
        <v>559</v>
      </c>
      <c r="E18" s="10"/>
      <c r="F18" s="10"/>
      <c r="G18" s="10"/>
      <c r="H18" s="10"/>
      <c r="I18" s="10"/>
      <c r="J18" s="10"/>
      <c r="K18" s="10"/>
    </row>
    <row r="19" customFormat="false" ht="15" hidden="false" customHeight="false" outlineLevel="0" collapsed="false">
      <c r="A19" s="9" t="n">
        <v>11</v>
      </c>
      <c r="B19" s="45" t="str">
        <f aca="false">IF('Start Here'!$C$19="","",'Start Here'!$C$19+70)</f>
        <v/>
      </c>
      <c r="C19" s="5" t="s">
        <v>560</v>
      </c>
      <c r="D19" s="18" t="s">
        <v>561</v>
      </c>
      <c r="E19" s="10"/>
      <c r="F19" s="10"/>
      <c r="G19" s="10"/>
      <c r="H19" s="10"/>
      <c r="I19" s="10"/>
      <c r="J19" s="10"/>
      <c r="K19" s="10"/>
    </row>
    <row r="20" customFormat="false" ht="15" hidden="false" customHeight="false" outlineLevel="0" collapsed="false">
      <c r="A20" s="9" t="n">
        <v>12</v>
      </c>
      <c r="B20" s="45" t="str">
        <f aca="false">IF('Start Here'!$C$19="","",'Start Here'!$C$19+77)</f>
        <v/>
      </c>
      <c r="C20" s="5" t="s">
        <v>562</v>
      </c>
      <c r="D20" s="18" t="s">
        <v>563</v>
      </c>
      <c r="E20" s="10"/>
      <c r="F20" s="10"/>
      <c r="G20" s="10"/>
      <c r="H20" s="10"/>
      <c r="I20" s="10"/>
      <c r="J20" s="10"/>
      <c r="K20" s="10"/>
    </row>
    <row r="21" customFormat="false" ht="15" hidden="false" customHeight="false" outlineLevel="0" collapsed="false">
      <c r="A21" s="9" t="n">
        <v>13</v>
      </c>
      <c r="B21" s="45" t="str">
        <f aca="false">IF('Start Here'!$C$19="","",'Start Here'!$C$19+84)</f>
        <v/>
      </c>
      <c r="C21" s="5" t="s">
        <v>564</v>
      </c>
      <c r="D21" s="18" t="s">
        <v>565</v>
      </c>
      <c r="E21" s="10"/>
      <c r="F21" s="10"/>
      <c r="G21" s="10"/>
      <c r="H21" s="10"/>
      <c r="I21" s="10"/>
      <c r="J21" s="10"/>
      <c r="K21" s="10"/>
    </row>
    <row r="22" customFormat="false" ht="15" hidden="false" customHeight="false" outlineLevel="0" collapsed="false">
      <c r="A22" s="9" t="n">
        <v>14</v>
      </c>
      <c r="B22" s="45" t="str">
        <f aca="false">IF('Start Here'!$C$19="","",'Start Here'!$C$19+91)</f>
        <v/>
      </c>
      <c r="C22" s="5" t="s">
        <v>564</v>
      </c>
      <c r="D22" s="18" t="s">
        <v>565</v>
      </c>
      <c r="E22" s="10"/>
      <c r="F22" s="10"/>
      <c r="G22" s="10"/>
      <c r="H22" s="10"/>
      <c r="I22" s="10"/>
      <c r="J22" s="10"/>
      <c r="K22" s="10"/>
    </row>
    <row r="23" customFormat="false" ht="15" hidden="false" customHeight="false" outlineLevel="0" collapsed="false">
      <c r="A23" s="9" t="n">
        <v>15</v>
      </c>
      <c r="B23" s="45" t="str">
        <f aca="false">IF('Start Here'!$C$19="","",'Start Here'!$C$19+98)</f>
        <v/>
      </c>
      <c r="C23" s="5" t="s">
        <v>564</v>
      </c>
      <c r="D23" s="18" t="s">
        <v>565</v>
      </c>
      <c r="E23" s="10"/>
      <c r="F23" s="10"/>
      <c r="G23" s="10"/>
      <c r="H23" s="10"/>
      <c r="I23" s="10"/>
      <c r="J23" s="10"/>
      <c r="K23" s="10"/>
    </row>
    <row r="24" customFormat="false" ht="15" hidden="false" customHeight="false" outlineLevel="0" collapsed="false">
      <c r="A24" s="9" t="n">
        <v>16</v>
      </c>
      <c r="B24" s="45" t="str">
        <f aca="false">IF('Start Here'!$C$19="","",'Start Here'!$C$19+105)</f>
        <v/>
      </c>
      <c r="C24" s="5" t="s">
        <v>564</v>
      </c>
      <c r="D24" s="18" t="s">
        <v>565</v>
      </c>
      <c r="E24" s="10"/>
      <c r="F24" s="10"/>
      <c r="G24" s="10"/>
      <c r="H24" s="10"/>
      <c r="I24" s="10"/>
      <c r="J24" s="10"/>
      <c r="K24" s="10"/>
    </row>
    <row r="25" customFormat="false" ht="15" hidden="false" customHeight="false" outlineLevel="0" collapsed="false">
      <c r="A25" s="9" t="n">
        <v>17</v>
      </c>
      <c r="B25" s="45" t="str">
        <f aca="false">IF('Start Here'!$C$19="","",'Start Here'!$C$19+112)</f>
        <v/>
      </c>
      <c r="C25" s="5" t="s">
        <v>564</v>
      </c>
      <c r="D25" s="18" t="s">
        <v>565</v>
      </c>
      <c r="E25" s="10"/>
      <c r="F25" s="10"/>
      <c r="G25" s="10"/>
      <c r="H25" s="10"/>
      <c r="I25" s="10"/>
      <c r="J25" s="10"/>
      <c r="K25" s="10"/>
    </row>
    <row r="26" customFormat="false" ht="15" hidden="false" customHeight="false" outlineLevel="0" collapsed="false">
      <c r="A26" s="9" t="n">
        <v>18</v>
      </c>
      <c r="B26" s="45" t="str">
        <f aca="false">IF('Start Here'!$C$19="","",'Start Here'!$C$19+119)</f>
        <v/>
      </c>
      <c r="C26" s="5" t="s">
        <v>564</v>
      </c>
      <c r="D26" s="18" t="s">
        <v>565</v>
      </c>
      <c r="E26" s="10"/>
      <c r="F26" s="10"/>
      <c r="G26" s="10"/>
      <c r="H26" s="10"/>
      <c r="I26" s="10"/>
      <c r="J26" s="10"/>
      <c r="K26" s="10"/>
    </row>
    <row r="27" customFormat="false" ht="15" hidden="false" customHeight="false" outlineLevel="0" collapsed="false">
      <c r="A27" s="9" t="n">
        <v>19</v>
      </c>
      <c r="B27" s="45" t="str">
        <f aca="false">IF('Start Here'!$C$19="","",'Start Here'!$C$19+126)</f>
        <v/>
      </c>
      <c r="C27" s="5" t="s">
        <v>564</v>
      </c>
      <c r="D27" s="18" t="s">
        <v>565</v>
      </c>
      <c r="E27" s="10"/>
      <c r="F27" s="10"/>
      <c r="G27" s="10"/>
      <c r="H27" s="10"/>
      <c r="I27" s="10"/>
      <c r="J27" s="10"/>
      <c r="K27" s="10"/>
    </row>
    <row r="28" customFormat="false" ht="15" hidden="false" customHeight="false" outlineLevel="0" collapsed="false">
      <c r="A28" s="9" t="n">
        <v>20</v>
      </c>
      <c r="B28" s="45" t="str">
        <f aca="false">IF('Start Here'!$C$19="","",'Start Here'!$C$19+133)</f>
        <v/>
      </c>
      <c r="C28" s="5" t="s">
        <v>564</v>
      </c>
      <c r="D28" s="18" t="s">
        <v>565</v>
      </c>
      <c r="E28" s="10"/>
      <c r="F28" s="10"/>
      <c r="G28" s="10"/>
      <c r="H28" s="10"/>
      <c r="I28" s="10"/>
      <c r="J28" s="10"/>
      <c r="K28" s="10"/>
    </row>
    <row r="29" customFormat="false" ht="15" hidden="false" customHeight="false" outlineLevel="0" collapsed="false">
      <c r="A29" s="9" t="n">
        <v>21</v>
      </c>
      <c r="B29" s="45" t="str">
        <f aca="false">IF('Start Here'!$C$19="","",'Start Here'!$C$19+140)</f>
        <v/>
      </c>
      <c r="C29" s="5" t="s">
        <v>564</v>
      </c>
      <c r="D29" s="18" t="s">
        <v>565</v>
      </c>
      <c r="E29" s="10"/>
      <c r="F29" s="10"/>
      <c r="G29" s="10"/>
      <c r="H29" s="10"/>
      <c r="I29" s="10"/>
      <c r="J29" s="10"/>
      <c r="K29" s="10"/>
    </row>
    <row r="30" customFormat="false" ht="15" hidden="false" customHeight="false" outlineLevel="0" collapsed="false">
      <c r="A30" s="9" t="n">
        <v>22</v>
      </c>
      <c r="B30" s="45" t="str">
        <f aca="false">IF('Start Here'!$C$19="","",'Start Here'!$C$19+147)</f>
        <v/>
      </c>
      <c r="C30" s="5" t="s">
        <v>564</v>
      </c>
      <c r="D30" s="18" t="s">
        <v>565</v>
      </c>
      <c r="E30" s="10"/>
      <c r="F30" s="10"/>
      <c r="G30" s="10"/>
      <c r="H30" s="10"/>
      <c r="I30" s="10"/>
      <c r="J30" s="10"/>
      <c r="K30" s="10"/>
    </row>
    <row r="31" customFormat="false" ht="15" hidden="false" customHeight="false" outlineLevel="0" collapsed="false">
      <c r="A31" s="9" t="n">
        <v>23</v>
      </c>
      <c r="B31" s="45" t="str">
        <f aca="false">IF('Start Here'!$C$19="","",'Start Here'!$C$19+154)</f>
        <v/>
      </c>
      <c r="C31" s="5" t="s">
        <v>564</v>
      </c>
      <c r="D31" s="18" t="s">
        <v>565</v>
      </c>
      <c r="E31" s="10"/>
      <c r="F31" s="10"/>
      <c r="G31" s="10"/>
      <c r="H31" s="10"/>
      <c r="I31" s="10"/>
      <c r="J31" s="10"/>
      <c r="K31" s="10"/>
    </row>
    <row r="32" customFormat="false" ht="15" hidden="false" customHeight="false" outlineLevel="0" collapsed="false">
      <c r="A32" s="9" t="n">
        <v>24</v>
      </c>
      <c r="B32" s="45" t="str">
        <f aca="false">IF('Start Here'!$C$19="","",'Start Here'!$C$19+161)</f>
        <v/>
      </c>
      <c r="C32" s="5" t="s">
        <v>564</v>
      </c>
      <c r="D32" s="18" t="s">
        <v>565</v>
      </c>
      <c r="E32" s="10"/>
      <c r="F32" s="10"/>
      <c r="G32" s="10"/>
      <c r="H32" s="10"/>
      <c r="I32" s="10"/>
      <c r="J32" s="10"/>
      <c r="K32" s="10"/>
    </row>
    <row r="33" customFormat="false" ht="15" hidden="false" customHeight="false" outlineLevel="0" collapsed="false">
      <c r="A33" s="9" t="n">
        <v>25</v>
      </c>
      <c r="B33" s="45" t="str">
        <f aca="false">IF('Start Here'!$C$19="","",'Start Here'!$C$19+168)</f>
        <v/>
      </c>
      <c r="C33" s="5" t="s">
        <v>564</v>
      </c>
      <c r="D33" s="18" t="s">
        <v>565</v>
      </c>
      <c r="E33" s="10"/>
      <c r="F33" s="10"/>
      <c r="G33" s="10"/>
      <c r="H33" s="10"/>
      <c r="I33" s="10"/>
      <c r="J33" s="10"/>
      <c r="K33" s="10"/>
    </row>
    <row r="34" customFormat="false" ht="15" hidden="false" customHeight="false" outlineLevel="0" collapsed="false">
      <c r="A34" s="9" t="n">
        <v>26</v>
      </c>
      <c r="B34" s="45" t="str">
        <f aca="false">IF('Start Here'!$C$19="","",'Start Here'!$C$19+175)</f>
        <v/>
      </c>
      <c r="C34" s="5" t="s">
        <v>564</v>
      </c>
      <c r="D34" s="18" t="s">
        <v>565</v>
      </c>
      <c r="E34" s="10"/>
      <c r="F34" s="10"/>
      <c r="G34" s="10"/>
      <c r="H34" s="10"/>
      <c r="I34" s="10"/>
      <c r="J34" s="10"/>
      <c r="K34" s="10"/>
    </row>
  </sheetData>
  <mergeCells count="4">
    <mergeCell ref="A3:B3"/>
    <mergeCell ref="A4:B4"/>
    <mergeCell ref="A5:B5"/>
    <mergeCell ref="A6:B6"/>
  </mergeCells>
  <conditionalFormatting sqref="A9:D34">
    <cfRule type="expression" priority="2" aboveAverage="0" equalAverage="0" bottom="0" percent="0" rank="0" text="" dxfId="12">
      <formula>$A9='Start Here'!$C$26</formula>
    </cfRule>
  </conditionalFormatting>
  <dataValidations count="2">
    <dataValidation allowBlank="true" error="Pick an option from the list." errorStyle="stop" errorTitle="Invalid value" operator="between" showDropDown="false" showErrorMessage="false" showInputMessage="false" sqref="E9:F34" type="list">
      <formula1>"Yes,No"</formula1>
      <formula2>0</formula2>
    </dataValidation>
    <dataValidation allowBlank="true" error="Pick an option from the list." errorStyle="stop" errorTitle="Invalid value" operator="between" showDropDown="false" showErrorMessage="false" showInputMessage="false" sqref="H9:H3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00"/>
  </cols>
  <sheetData>
    <row r="1" customFormat="false" ht="27.75" hidden="false" customHeight="true" outlineLevel="0" collapsed="false">
      <c r="A1" s="1" t="s">
        <v>566</v>
      </c>
    </row>
    <row r="2" customFormat="false" ht="15" hidden="false" customHeight="false" outlineLevel="0" collapsed="false">
      <c r="A2" s="2" t="s">
        <v>567</v>
      </c>
    </row>
    <row r="4" customFormat="false" ht="30" hidden="false" customHeight="true" outlineLevel="0" collapsed="false">
      <c r="A4" s="8" t="s">
        <v>82</v>
      </c>
      <c r="B4" s="8" t="s">
        <v>568</v>
      </c>
      <c r="C4" s="8" t="s">
        <v>569</v>
      </c>
      <c r="D4" s="8" t="s">
        <v>570</v>
      </c>
    </row>
    <row r="5" customFormat="false" ht="300" hidden="false" customHeight="true" outlineLevel="0" collapsed="false">
      <c r="A5" s="30" t="s">
        <v>571</v>
      </c>
      <c r="B5" s="32" t="s">
        <v>101</v>
      </c>
      <c r="C5" s="32" t="s">
        <v>572</v>
      </c>
      <c r="D5" s="32" t="s">
        <v>573</v>
      </c>
    </row>
    <row r="6" customFormat="false" ht="285" hidden="false" customHeight="true" outlineLevel="0" collapsed="false">
      <c r="A6" s="30" t="s">
        <v>574</v>
      </c>
      <c r="B6" s="32" t="s">
        <v>542</v>
      </c>
      <c r="C6" s="32" t="s">
        <v>575</v>
      </c>
      <c r="D6" s="32" t="s">
        <v>576</v>
      </c>
    </row>
    <row r="7" customFormat="false" ht="195" hidden="false" customHeight="true" outlineLevel="0" collapsed="false">
      <c r="A7" s="30" t="s">
        <v>577</v>
      </c>
      <c r="B7" s="32" t="s">
        <v>578</v>
      </c>
      <c r="C7" s="32" t="s">
        <v>579</v>
      </c>
      <c r="D7" s="32" t="s">
        <v>580</v>
      </c>
    </row>
    <row r="8" customFormat="false" ht="255" hidden="false" customHeight="true" outlineLevel="0" collapsed="false">
      <c r="A8" s="30" t="s">
        <v>581</v>
      </c>
      <c r="B8" s="32" t="s">
        <v>544</v>
      </c>
      <c r="C8" s="32" t="s">
        <v>582</v>
      </c>
      <c r="D8" s="32" t="s">
        <v>583</v>
      </c>
    </row>
    <row r="9" customFormat="false" ht="285" hidden="false" customHeight="true" outlineLevel="0" collapsed="false">
      <c r="A9" s="30" t="s">
        <v>584</v>
      </c>
      <c r="B9" s="32" t="s">
        <v>585</v>
      </c>
      <c r="C9" s="32" t="s">
        <v>586</v>
      </c>
      <c r="D9" s="32" t="s">
        <v>587</v>
      </c>
    </row>
    <row r="10" customFormat="false" ht="255" hidden="false" customHeight="true" outlineLevel="0" collapsed="false">
      <c r="A10" s="30" t="s">
        <v>588</v>
      </c>
      <c r="B10" s="32" t="s">
        <v>589</v>
      </c>
      <c r="C10" s="32" t="s">
        <v>590</v>
      </c>
      <c r="D10" s="32" t="s">
        <v>591</v>
      </c>
    </row>
    <row r="11" customFormat="false" ht="210" hidden="false" customHeight="true" outlineLevel="0" collapsed="false">
      <c r="A11" s="30" t="s">
        <v>592</v>
      </c>
      <c r="B11" s="32" t="s">
        <v>550</v>
      </c>
      <c r="C11" s="32" t="s">
        <v>593</v>
      </c>
      <c r="D11" s="32" t="s">
        <v>594</v>
      </c>
    </row>
    <row r="12" customFormat="false" ht="315" hidden="false" customHeight="true" outlineLevel="0" collapsed="false">
      <c r="A12" s="30" t="s">
        <v>595</v>
      </c>
      <c r="B12" s="32" t="s">
        <v>552</v>
      </c>
      <c r="C12" s="32" t="s">
        <v>596</v>
      </c>
      <c r="D12" s="32" t="s">
        <v>597</v>
      </c>
    </row>
    <row r="13" customFormat="false" ht="285" hidden="false" customHeight="true" outlineLevel="0" collapsed="false">
      <c r="A13" s="30" t="s">
        <v>598</v>
      </c>
      <c r="B13" s="32" t="s">
        <v>599</v>
      </c>
      <c r="C13" s="32" t="s">
        <v>600</v>
      </c>
      <c r="D13" s="32" t="s">
        <v>601</v>
      </c>
    </row>
    <row r="14" customFormat="false" ht="165" hidden="false" customHeight="true" outlineLevel="0" collapsed="false">
      <c r="A14" s="30" t="s">
        <v>602</v>
      </c>
      <c r="B14" s="32" t="s">
        <v>556</v>
      </c>
      <c r="C14" s="32" t="s">
        <v>603</v>
      </c>
      <c r="D14" s="32" t="s">
        <v>604</v>
      </c>
    </row>
    <row r="15" customFormat="false" ht="165" hidden="false" customHeight="true" outlineLevel="0" collapsed="false">
      <c r="A15" s="30" t="s">
        <v>605</v>
      </c>
      <c r="B15" s="32" t="s">
        <v>558</v>
      </c>
      <c r="C15" s="32" t="s">
        <v>606</v>
      </c>
      <c r="D15" s="32" t="s">
        <v>607</v>
      </c>
    </row>
    <row r="16" customFormat="false" ht="255" hidden="false" customHeight="true" outlineLevel="0" collapsed="false">
      <c r="A16" s="30" t="s">
        <v>608</v>
      </c>
      <c r="B16" s="32" t="s">
        <v>560</v>
      </c>
      <c r="C16" s="32" t="s">
        <v>609</v>
      </c>
      <c r="D16" s="32" t="s">
        <v>610</v>
      </c>
    </row>
    <row r="17" customFormat="false" ht="240" hidden="false" customHeight="true" outlineLevel="0" collapsed="false">
      <c r="A17" s="30" t="s">
        <v>611</v>
      </c>
      <c r="B17" s="32" t="s">
        <v>562</v>
      </c>
      <c r="C17" s="32" t="s">
        <v>612</v>
      </c>
      <c r="D17" s="32" t="s">
        <v>613</v>
      </c>
    </row>
    <row r="18" customFormat="false" ht="195" hidden="false" customHeight="true" outlineLevel="0" collapsed="false">
      <c r="A18" s="30" t="s">
        <v>614</v>
      </c>
      <c r="B18" s="32" t="s">
        <v>615</v>
      </c>
      <c r="C18" s="32" t="s">
        <v>616</v>
      </c>
      <c r="D18" s="32" t="s">
        <v>617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12"/>
    <col collapsed="false" customWidth="true" hidden="false" outlineLevel="0" max="4" min="4" style="0" width="14"/>
    <col collapsed="false" customWidth="true" hidden="false" outlineLevel="0" max="6" min="5" style="0" width="12"/>
    <col collapsed="false" customWidth="true" hidden="false" outlineLevel="0" max="7" min="7" style="0" width="14"/>
    <col collapsed="false" customWidth="true" hidden="false" outlineLevel="0" max="8" min="8" style="0" width="34"/>
  </cols>
  <sheetData>
    <row r="1" customFormat="false" ht="27.75" hidden="false" customHeight="true" outlineLevel="0" collapsed="false">
      <c r="A1" s="1" t="s">
        <v>618</v>
      </c>
    </row>
    <row r="2" customFormat="false" ht="15" hidden="false" customHeight="false" outlineLevel="0" collapsed="false">
      <c r="A2" s="2" t="s">
        <v>619</v>
      </c>
    </row>
    <row r="4" customFormat="false" ht="30" hidden="false" customHeight="true" outlineLevel="0" collapsed="false">
      <c r="A4" s="8" t="s">
        <v>253</v>
      </c>
      <c r="B4" s="8" t="s">
        <v>252</v>
      </c>
      <c r="C4" s="8" t="s">
        <v>255</v>
      </c>
      <c r="D4" s="8" t="s">
        <v>256</v>
      </c>
      <c r="E4" s="8" t="s">
        <v>267</v>
      </c>
      <c r="F4" s="8" t="s">
        <v>269</v>
      </c>
      <c r="G4" s="8" t="s">
        <v>71</v>
      </c>
      <c r="H4" s="8" t="s">
        <v>90</v>
      </c>
    </row>
    <row r="5" customFormat="false" ht="15" hidden="false" customHeight="false" outlineLevel="0" collapsed="false">
      <c r="A5" s="46"/>
      <c r="B5" s="27" t="s">
        <v>620</v>
      </c>
      <c r="C5" s="27" t="n">
        <v>14.2</v>
      </c>
      <c r="D5" s="47" t="n">
        <v>0.08</v>
      </c>
      <c r="E5" s="27" t="n">
        <v>23</v>
      </c>
      <c r="F5" s="27" t="n">
        <v>41</v>
      </c>
      <c r="G5" s="27" t="n">
        <v>9</v>
      </c>
      <c r="H5" s="27" t="s">
        <v>621</v>
      </c>
    </row>
    <row r="6" customFormat="false" ht="15" hidden="false" customHeight="false" outlineLevel="0" collapsed="false">
      <c r="A6" s="12"/>
      <c r="B6" s="10"/>
      <c r="C6" s="10"/>
      <c r="D6" s="25"/>
      <c r="E6" s="10"/>
      <c r="F6" s="10"/>
      <c r="G6" s="10"/>
      <c r="H6" s="10"/>
    </row>
    <row r="7" customFormat="false" ht="15" hidden="false" customHeight="false" outlineLevel="0" collapsed="false">
      <c r="A7" s="12"/>
      <c r="B7" s="10"/>
      <c r="C7" s="10"/>
      <c r="D7" s="25"/>
      <c r="E7" s="10"/>
      <c r="F7" s="10"/>
      <c r="G7" s="10"/>
      <c r="H7" s="10"/>
    </row>
    <row r="8" customFormat="false" ht="15" hidden="false" customHeight="false" outlineLevel="0" collapsed="false">
      <c r="A8" s="12"/>
      <c r="B8" s="10"/>
      <c r="C8" s="10"/>
      <c r="D8" s="25"/>
      <c r="E8" s="10"/>
      <c r="F8" s="10"/>
      <c r="G8" s="10"/>
      <c r="H8" s="10"/>
    </row>
    <row r="9" customFormat="false" ht="15" hidden="false" customHeight="false" outlineLevel="0" collapsed="false">
      <c r="A9" s="12"/>
      <c r="B9" s="10"/>
      <c r="C9" s="10"/>
      <c r="D9" s="25"/>
      <c r="E9" s="10"/>
      <c r="F9" s="10"/>
      <c r="G9" s="10"/>
      <c r="H9" s="10"/>
    </row>
    <row r="10" customFormat="false" ht="15" hidden="false" customHeight="false" outlineLevel="0" collapsed="false">
      <c r="A10" s="12"/>
      <c r="B10" s="10"/>
      <c r="C10" s="10"/>
      <c r="D10" s="25"/>
      <c r="E10" s="10"/>
      <c r="F10" s="10"/>
      <c r="G10" s="10"/>
      <c r="H10" s="10"/>
    </row>
    <row r="11" customFormat="false" ht="15" hidden="false" customHeight="false" outlineLevel="0" collapsed="false">
      <c r="A11" s="12"/>
      <c r="B11" s="10"/>
      <c r="C11" s="10"/>
      <c r="D11" s="25"/>
      <c r="E11" s="10"/>
      <c r="F11" s="10"/>
      <c r="G11" s="10"/>
      <c r="H11" s="10"/>
    </row>
    <row r="12" customFormat="false" ht="15" hidden="false" customHeight="false" outlineLevel="0" collapsed="false">
      <c r="A12" s="12"/>
      <c r="B12" s="10"/>
      <c r="C12" s="10"/>
      <c r="D12" s="25"/>
      <c r="E12" s="10"/>
      <c r="F12" s="10"/>
      <c r="G12" s="10"/>
      <c r="H12" s="10"/>
    </row>
    <row r="13" customFormat="false" ht="15" hidden="false" customHeight="false" outlineLevel="0" collapsed="false">
      <c r="A13" s="12"/>
      <c r="B13" s="10"/>
      <c r="C13" s="10"/>
      <c r="D13" s="25"/>
      <c r="E13" s="10"/>
      <c r="F13" s="10"/>
      <c r="G13" s="10"/>
      <c r="H13" s="10"/>
    </row>
    <row r="14" customFormat="false" ht="15" hidden="false" customHeight="false" outlineLevel="0" collapsed="false">
      <c r="A14" s="12"/>
      <c r="B14" s="10"/>
      <c r="C14" s="10"/>
      <c r="D14" s="25"/>
      <c r="E14" s="10"/>
      <c r="F14" s="10"/>
      <c r="G14" s="10"/>
      <c r="H14" s="10"/>
    </row>
    <row r="15" customFormat="false" ht="15" hidden="false" customHeight="false" outlineLevel="0" collapsed="false">
      <c r="A15" s="12"/>
      <c r="B15" s="10"/>
      <c r="C15" s="10"/>
      <c r="D15" s="25"/>
      <c r="E15" s="10"/>
      <c r="F15" s="10"/>
      <c r="G15" s="10"/>
      <c r="H15" s="10"/>
    </row>
    <row r="16" customFormat="false" ht="15" hidden="false" customHeight="false" outlineLevel="0" collapsed="false">
      <c r="A16" s="12"/>
      <c r="B16" s="10"/>
      <c r="C16" s="10"/>
      <c r="D16" s="25"/>
      <c r="E16" s="10"/>
      <c r="F16" s="10"/>
      <c r="G16" s="10"/>
      <c r="H16" s="10"/>
    </row>
    <row r="17" customFormat="false" ht="15" hidden="false" customHeight="false" outlineLevel="0" collapsed="false">
      <c r="A17" s="12"/>
      <c r="B17" s="10"/>
      <c r="C17" s="10"/>
      <c r="D17" s="25"/>
      <c r="E17" s="10"/>
      <c r="F17" s="10"/>
      <c r="G17" s="10"/>
      <c r="H17" s="10"/>
    </row>
    <row r="18" customFormat="false" ht="15" hidden="false" customHeight="false" outlineLevel="0" collapsed="false">
      <c r="A18" s="12"/>
      <c r="B18" s="10"/>
      <c r="C18" s="10"/>
      <c r="D18" s="25"/>
      <c r="E18" s="10"/>
      <c r="F18" s="10"/>
      <c r="G18" s="10"/>
      <c r="H18" s="10"/>
    </row>
    <row r="19" customFormat="false" ht="15" hidden="false" customHeight="false" outlineLevel="0" collapsed="false">
      <c r="A19" s="12"/>
      <c r="B19" s="10"/>
      <c r="C19" s="10"/>
      <c r="D19" s="25"/>
      <c r="E19" s="10"/>
      <c r="F19" s="10"/>
      <c r="G19" s="10"/>
      <c r="H19" s="10"/>
    </row>
    <row r="20" customFormat="false" ht="15" hidden="false" customHeight="false" outlineLevel="0" collapsed="false">
      <c r="A20" s="12"/>
      <c r="B20" s="10"/>
      <c r="C20" s="10"/>
      <c r="D20" s="25"/>
      <c r="E20" s="10"/>
      <c r="F20" s="10"/>
      <c r="G20" s="10"/>
      <c r="H20" s="10"/>
    </row>
    <row r="21" customFormat="false" ht="15" hidden="false" customHeight="false" outlineLevel="0" collapsed="false">
      <c r="A21" s="12"/>
      <c r="B21" s="10"/>
      <c r="C21" s="10"/>
      <c r="D21" s="25"/>
      <c r="E21" s="10"/>
      <c r="F21" s="10"/>
      <c r="G21" s="10"/>
      <c r="H21" s="10"/>
    </row>
    <row r="22" customFormat="false" ht="15" hidden="false" customHeight="false" outlineLevel="0" collapsed="false">
      <c r="A22" s="12"/>
      <c r="B22" s="10"/>
      <c r="C22" s="10"/>
      <c r="D22" s="25"/>
      <c r="E22" s="10"/>
      <c r="F22" s="10"/>
      <c r="G22" s="10"/>
      <c r="H22" s="10"/>
    </row>
    <row r="23" customFormat="false" ht="15" hidden="false" customHeight="false" outlineLevel="0" collapsed="false">
      <c r="A23" s="12"/>
      <c r="B23" s="10"/>
      <c r="C23" s="10"/>
      <c r="D23" s="25"/>
      <c r="E23" s="10"/>
      <c r="F23" s="10"/>
      <c r="G23" s="10"/>
      <c r="H23" s="10"/>
    </row>
    <row r="24" customFormat="false" ht="15" hidden="false" customHeight="false" outlineLevel="0" collapsed="false">
      <c r="A24" s="12"/>
      <c r="B24" s="10"/>
      <c r="C24" s="10"/>
      <c r="D24" s="25"/>
      <c r="E24" s="10"/>
      <c r="F24" s="10"/>
      <c r="G24" s="10"/>
      <c r="H24" s="10"/>
    </row>
    <row r="25" customFormat="false" ht="15" hidden="false" customHeight="false" outlineLevel="0" collapsed="false">
      <c r="A25" s="12"/>
      <c r="B25" s="10"/>
      <c r="C25" s="10"/>
      <c r="D25" s="25"/>
      <c r="E25" s="10"/>
      <c r="F25" s="10"/>
      <c r="G25" s="10"/>
      <c r="H25" s="10"/>
    </row>
    <row r="26" customFormat="false" ht="15" hidden="false" customHeight="false" outlineLevel="0" collapsed="false">
      <c r="A26" s="12"/>
      <c r="B26" s="10"/>
      <c r="C26" s="10"/>
      <c r="D26" s="25"/>
      <c r="E26" s="10"/>
      <c r="F26" s="10"/>
      <c r="G26" s="10"/>
      <c r="H26" s="10"/>
    </row>
    <row r="27" customFormat="false" ht="15" hidden="false" customHeight="false" outlineLevel="0" collapsed="false">
      <c r="A27" s="12"/>
      <c r="B27" s="10"/>
      <c r="C27" s="10"/>
      <c r="D27" s="25"/>
      <c r="E27" s="10"/>
      <c r="F27" s="10"/>
      <c r="G27" s="10"/>
      <c r="H27" s="10"/>
    </row>
    <row r="28" customFormat="false" ht="15" hidden="false" customHeight="false" outlineLevel="0" collapsed="false">
      <c r="A28" s="12"/>
      <c r="B28" s="10"/>
      <c r="C28" s="10"/>
      <c r="D28" s="25"/>
      <c r="E28" s="10"/>
      <c r="F28" s="10"/>
      <c r="G28" s="10"/>
      <c r="H28" s="10"/>
    </row>
    <row r="29" customFormat="false" ht="15" hidden="false" customHeight="false" outlineLevel="0" collapsed="false">
      <c r="A29" s="12"/>
      <c r="B29" s="10"/>
      <c r="C29" s="10"/>
      <c r="D29" s="25"/>
      <c r="E29" s="10"/>
      <c r="F29" s="10"/>
      <c r="G29" s="10"/>
      <c r="H29" s="10"/>
    </row>
    <row r="30" customFormat="false" ht="15" hidden="false" customHeight="false" outlineLevel="0" collapsed="false">
      <c r="A30" s="12"/>
      <c r="B30" s="10"/>
      <c r="C30" s="10"/>
      <c r="D30" s="25"/>
      <c r="E30" s="10"/>
      <c r="F30" s="10"/>
      <c r="G30" s="10"/>
      <c r="H30" s="10"/>
    </row>
    <row r="31" customFormat="false" ht="15" hidden="false" customHeight="false" outlineLevel="0" collapsed="false">
      <c r="A31" s="12"/>
      <c r="B31" s="10"/>
      <c r="C31" s="10"/>
      <c r="D31" s="25"/>
      <c r="E31" s="10"/>
      <c r="F31" s="10"/>
      <c r="G31" s="10"/>
      <c r="H31" s="10"/>
    </row>
    <row r="32" customFormat="false" ht="15" hidden="false" customHeight="false" outlineLevel="0" collapsed="false">
      <c r="A32" s="12"/>
      <c r="B32" s="10"/>
      <c r="C32" s="10"/>
      <c r="D32" s="25"/>
      <c r="E32" s="10"/>
      <c r="F32" s="10"/>
      <c r="G32" s="10"/>
      <c r="H32" s="10"/>
    </row>
    <row r="33" customFormat="false" ht="15" hidden="false" customHeight="false" outlineLevel="0" collapsed="false">
      <c r="A33" s="12"/>
      <c r="B33" s="10"/>
      <c r="C33" s="10"/>
      <c r="D33" s="25"/>
      <c r="E33" s="10"/>
      <c r="F33" s="10"/>
      <c r="G33" s="10"/>
      <c r="H33" s="10"/>
    </row>
    <row r="34" customFormat="false" ht="15" hidden="false" customHeight="false" outlineLevel="0" collapsed="false">
      <c r="A34" s="12"/>
      <c r="B34" s="10"/>
      <c r="C34" s="10"/>
      <c r="D34" s="25"/>
      <c r="E34" s="10"/>
      <c r="F34" s="10"/>
      <c r="G34" s="10"/>
      <c r="H34" s="10"/>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6" min="3" style="0" width="12"/>
    <col collapsed="false" customWidth="true" hidden="false" outlineLevel="0" max="7" min="7" style="0" width="36"/>
    <col collapsed="false" customWidth="true" hidden="false" outlineLevel="0" max="9" min="8" style="0" width="12"/>
    <col collapsed="false" customWidth="true" hidden="false" outlineLevel="0" max="10" min="10" style="0" width="24"/>
    <col collapsed="false" customWidth="true" hidden="false" outlineLevel="0" max="11" min="11" style="0" width="20"/>
  </cols>
  <sheetData>
    <row r="1" customFormat="false" ht="27.75" hidden="false" customHeight="true" outlineLevel="0" collapsed="false">
      <c r="A1" s="1" t="s">
        <v>622</v>
      </c>
    </row>
    <row r="2" customFormat="false" ht="15" hidden="false" customHeight="false" outlineLevel="0" collapsed="false">
      <c r="A2" s="2" t="s">
        <v>623</v>
      </c>
    </row>
    <row r="4" customFormat="false" ht="30" hidden="false" customHeight="true" outlineLevel="0" collapsed="false">
      <c r="A4" s="8" t="s">
        <v>624</v>
      </c>
      <c r="B4" s="8" t="s">
        <v>625</v>
      </c>
      <c r="C4" s="8" t="s">
        <v>626</v>
      </c>
      <c r="D4" s="8" t="s">
        <v>627</v>
      </c>
      <c r="E4" s="8" t="s">
        <v>628</v>
      </c>
      <c r="F4" s="8" t="s">
        <v>629</v>
      </c>
      <c r="G4" s="8" t="s">
        <v>630</v>
      </c>
      <c r="H4" s="8" t="s">
        <v>631</v>
      </c>
      <c r="I4" s="8" t="s">
        <v>632</v>
      </c>
      <c r="J4" s="8" t="s">
        <v>633</v>
      </c>
      <c r="K4" s="8" t="s">
        <v>634</v>
      </c>
    </row>
    <row r="5" customFormat="false" ht="43.5" hidden="false" customHeight="true" outlineLevel="0" collapsed="false">
      <c r="A5" s="36" t="s">
        <v>635</v>
      </c>
      <c r="B5" s="36"/>
      <c r="C5" s="36" t="s">
        <v>371</v>
      </c>
      <c r="D5" s="36" t="s">
        <v>636</v>
      </c>
      <c r="E5" s="36" t="s">
        <v>371</v>
      </c>
      <c r="F5" s="36" t="s">
        <v>371</v>
      </c>
      <c r="G5" s="36" t="s">
        <v>637</v>
      </c>
      <c r="H5" s="36" t="s">
        <v>371</v>
      </c>
      <c r="I5" s="22"/>
      <c r="J5" s="36" t="s">
        <v>638</v>
      </c>
      <c r="K5" s="36" t="s">
        <v>639</v>
      </c>
    </row>
    <row r="6" customFormat="false" ht="15" hidden="false" customHeight="false" outlineLevel="0" collapsed="false">
      <c r="A6" s="23"/>
      <c r="B6" s="23"/>
      <c r="C6" s="23"/>
      <c r="D6" s="23"/>
      <c r="E6" s="23"/>
      <c r="F6" s="23"/>
      <c r="G6" s="23"/>
      <c r="H6" s="23"/>
      <c r="I6" s="22"/>
      <c r="J6" s="23"/>
      <c r="K6" s="23"/>
    </row>
    <row r="7" customFormat="false" ht="15" hidden="false" customHeight="false" outlineLevel="0" collapsed="false">
      <c r="A7" s="23"/>
      <c r="B7" s="23"/>
      <c r="C7" s="23"/>
      <c r="D7" s="23"/>
      <c r="E7" s="23"/>
      <c r="F7" s="23"/>
      <c r="G7" s="23"/>
      <c r="H7" s="23"/>
      <c r="I7" s="22"/>
      <c r="J7" s="23"/>
      <c r="K7" s="23"/>
    </row>
    <row r="8" customFormat="false" ht="15" hidden="false" customHeight="false" outlineLevel="0" collapsed="false">
      <c r="A8" s="23"/>
      <c r="B8" s="23"/>
      <c r="C8" s="23"/>
      <c r="D8" s="23"/>
      <c r="E8" s="23"/>
      <c r="F8" s="23"/>
      <c r="G8" s="23"/>
      <c r="H8" s="23"/>
      <c r="I8" s="22"/>
      <c r="J8" s="23"/>
      <c r="K8" s="23"/>
    </row>
    <row r="9" customFormat="false" ht="15" hidden="false" customHeight="false" outlineLevel="0" collapsed="false">
      <c r="A9" s="23"/>
      <c r="B9" s="23"/>
      <c r="C9" s="23"/>
      <c r="D9" s="23"/>
      <c r="E9" s="23"/>
      <c r="F9" s="23"/>
      <c r="G9" s="23"/>
      <c r="H9" s="23"/>
      <c r="I9" s="22"/>
      <c r="J9" s="23"/>
      <c r="K9" s="23"/>
    </row>
    <row r="10" customFormat="false" ht="15" hidden="false" customHeight="false" outlineLevel="0" collapsed="false">
      <c r="A10" s="23"/>
      <c r="B10" s="23"/>
      <c r="C10" s="23"/>
      <c r="D10" s="23"/>
      <c r="E10" s="23"/>
      <c r="F10" s="23"/>
      <c r="G10" s="23"/>
      <c r="H10" s="23"/>
      <c r="I10" s="22"/>
      <c r="J10" s="23"/>
      <c r="K10" s="23"/>
    </row>
    <row r="11" customFormat="false" ht="15" hidden="false" customHeight="false" outlineLevel="0" collapsed="false">
      <c r="A11" s="23"/>
      <c r="B11" s="23"/>
      <c r="C11" s="23"/>
      <c r="D11" s="23"/>
      <c r="E11" s="23"/>
      <c r="F11" s="23"/>
      <c r="G11" s="23"/>
      <c r="H11" s="23"/>
      <c r="I11" s="22"/>
      <c r="J11" s="23"/>
      <c r="K11" s="23"/>
    </row>
    <row r="12" customFormat="false" ht="15" hidden="false" customHeight="false" outlineLevel="0" collapsed="false">
      <c r="A12" s="23"/>
      <c r="B12" s="23"/>
      <c r="C12" s="23"/>
      <c r="D12" s="23"/>
      <c r="E12" s="23"/>
      <c r="F12" s="23"/>
      <c r="G12" s="23"/>
      <c r="H12" s="23"/>
      <c r="I12" s="22"/>
      <c r="J12" s="23"/>
      <c r="K12" s="23"/>
    </row>
    <row r="13" customFormat="false" ht="15" hidden="false" customHeight="false" outlineLevel="0" collapsed="false">
      <c r="A13" s="23"/>
      <c r="B13" s="23"/>
      <c r="C13" s="23"/>
      <c r="D13" s="23"/>
      <c r="E13" s="23"/>
      <c r="F13" s="23"/>
      <c r="G13" s="23"/>
      <c r="H13" s="23"/>
      <c r="I13" s="22"/>
      <c r="J13" s="23"/>
      <c r="K13" s="23"/>
    </row>
    <row r="14" customFormat="false" ht="15" hidden="false" customHeight="false" outlineLevel="0" collapsed="false">
      <c r="A14" s="23"/>
      <c r="B14" s="23"/>
      <c r="C14" s="23"/>
      <c r="D14" s="23"/>
      <c r="E14" s="23"/>
      <c r="F14" s="23"/>
      <c r="G14" s="23"/>
      <c r="H14" s="23"/>
      <c r="I14" s="22"/>
      <c r="J14" s="23"/>
      <c r="K14" s="23"/>
    </row>
    <row r="15" customFormat="false" ht="15" hidden="false" customHeight="false" outlineLevel="0" collapsed="false">
      <c r="A15" s="23"/>
      <c r="B15" s="23"/>
      <c r="C15" s="23"/>
      <c r="D15" s="23"/>
      <c r="E15" s="23"/>
      <c r="F15" s="23"/>
      <c r="G15" s="23"/>
      <c r="H15" s="23"/>
      <c r="I15" s="22"/>
      <c r="J15" s="23"/>
      <c r="K15" s="23"/>
    </row>
    <row r="16" customFormat="false" ht="15" hidden="false" customHeight="false" outlineLevel="0" collapsed="false">
      <c r="A16" s="23"/>
      <c r="B16" s="23"/>
      <c r="C16" s="23"/>
      <c r="D16" s="23"/>
      <c r="E16" s="23"/>
      <c r="F16" s="23"/>
      <c r="G16" s="23"/>
      <c r="H16" s="23"/>
      <c r="I16" s="22"/>
      <c r="J16" s="23"/>
      <c r="K16" s="23"/>
    </row>
    <row r="17" customFormat="false" ht="15" hidden="false" customHeight="false" outlineLevel="0" collapsed="false">
      <c r="A17" s="23"/>
      <c r="B17" s="23"/>
      <c r="C17" s="23"/>
      <c r="D17" s="23"/>
      <c r="E17" s="23"/>
      <c r="F17" s="23"/>
      <c r="G17" s="23"/>
      <c r="H17" s="23"/>
      <c r="I17" s="22"/>
      <c r="J17" s="23"/>
      <c r="K17" s="23"/>
    </row>
    <row r="18" customFormat="false" ht="15" hidden="false" customHeight="false" outlineLevel="0" collapsed="false">
      <c r="A18" s="23"/>
      <c r="B18" s="23"/>
      <c r="C18" s="23"/>
      <c r="D18" s="23"/>
      <c r="E18" s="23"/>
      <c r="F18" s="23"/>
      <c r="G18" s="23"/>
      <c r="H18" s="23"/>
      <c r="I18" s="22"/>
      <c r="J18" s="23"/>
      <c r="K18" s="23"/>
    </row>
    <row r="19" customFormat="false" ht="15" hidden="false" customHeight="false" outlineLevel="0" collapsed="false">
      <c r="A19" s="23"/>
      <c r="B19" s="23"/>
      <c r="C19" s="23"/>
      <c r="D19" s="23"/>
      <c r="E19" s="23"/>
      <c r="F19" s="23"/>
      <c r="G19" s="23"/>
      <c r="H19" s="23"/>
      <c r="I19" s="22"/>
      <c r="J19" s="23"/>
      <c r="K19" s="23"/>
    </row>
    <row r="22" customFormat="false" ht="15" hidden="false" customHeight="false" outlineLevel="0" collapsed="false">
      <c r="A22" s="2" t="s">
        <v>640</v>
      </c>
    </row>
  </sheetData>
  <dataValidations count="3">
    <dataValidation allowBlank="true" error="Pick an option from the list." errorStyle="stop" errorTitle="Invalid value" operator="between" showDropDown="false" showErrorMessage="false" showInputMessage="false" sqref="C5:F19" type="list">
      <formula1>"Yes,No"</formula1>
      <formula2>0</formula2>
    </dataValidation>
    <dataValidation allowBlank="true" error="Pick an option from the list." errorStyle="stop" errorTitle="Invalid value" operator="between" showDropDown="false" showErrorMessage="false" showInputMessage="false" sqref="H5:H19" type="list">
      <formula1>"Yes,No"</formula1>
      <formula2>0</formula2>
    </dataValidation>
    <dataValidation allowBlank="true" error="Pick an option from the list." errorStyle="stop" errorTitle="Invalid value" operator="between" showDropDown="false" showErrorMessage="false" showInputMessage="false" sqref="K5:K19" type="list">
      <formula1>"Pending,Removed,Rejected,Re-report with video"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BD1"/>
    <pageSetUpPr fitToPage="tru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0"/>
    <col collapsed="false" customWidth="true" hidden="false" outlineLevel="0" max="3" min="3" style="0" width="110"/>
  </cols>
  <sheetData>
    <row r="1" customFormat="false" ht="27.75" hidden="false" customHeight="true" outlineLevel="0" collapsed="false">
      <c r="A1" s="1" t="s">
        <v>641</v>
      </c>
    </row>
    <row r="2" customFormat="false" ht="15" hidden="false" customHeight="false" outlineLevel="0" collapsed="false">
      <c r="A2" s="2" t="s">
        <v>642</v>
      </c>
    </row>
    <row r="4" customFormat="false" ht="30" hidden="false" customHeight="true" outlineLevel="0" collapsed="false">
      <c r="A4" s="8" t="s">
        <v>643</v>
      </c>
      <c r="B4" s="8" t="s">
        <v>644</v>
      </c>
      <c r="C4" s="8" t="s">
        <v>645</v>
      </c>
    </row>
    <row r="5" customFormat="false" ht="181.5" hidden="false" customHeight="true" outlineLevel="0" collapsed="false">
      <c r="A5" s="30" t="s">
        <v>646</v>
      </c>
      <c r="B5" s="32" t="s">
        <v>647</v>
      </c>
      <c r="C5" s="32" t="s">
        <v>648</v>
      </c>
    </row>
    <row r="6" customFormat="false" ht="69.75" hidden="false" customHeight="true" outlineLevel="0" collapsed="false">
      <c r="A6" s="30" t="s">
        <v>649</v>
      </c>
      <c r="B6" s="32" t="s">
        <v>650</v>
      </c>
      <c r="C6" s="32" t="s">
        <v>651</v>
      </c>
    </row>
    <row r="7" customFormat="false" ht="84" hidden="false" customHeight="true" outlineLevel="0" collapsed="false">
      <c r="A7" s="30" t="s">
        <v>652</v>
      </c>
      <c r="B7" s="32" t="s">
        <v>653</v>
      </c>
      <c r="C7" s="32" t="s">
        <v>654</v>
      </c>
    </row>
    <row r="8" customFormat="false" ht="97.5" hidden="false" customHeight="true" outlineLevel="0" collapsed="false">
      <c r="A8" s="30" t="s">
        <v>655</v>
      </c>
      <c r="B8" s="32" t="s">
        <v>656</v>
      </c>
      <c r="C8" s="32" t="s">
        <v>657</v>
      </c>
    </row>
    <row r="9" customFormat="false" ht="84" hidden="false" customHeight="true" outlineLevel="0" collapsed="false">
      <c r="A9" s="30" t="s">
        <v>658</v>
      </c>
      <c r="B9" s="32" t="s">
        <v>659</v>
      </c>
      <c r="C9" s="32" t="s">
        <v>660</v>
      </c>
    </row>
    <row r="10" customFormat="false" ht="408.75" hidden="false" customHeight="true" outlineLevel="0" collapsed="false">
      <c r="A10" s="30" t="s">
        <v>661</v>
      </c>
      <c r="B10" s="32" t="s">
        <v>662</v>
      </c>
      <c r="C10" s="32" t="s">
        <v>663</v>
      </c>
    </row>
    <row r="11" customFormat="false" ht="408.75" hidden="false" customHeight="true" outlineLevel="0" collapsed="false">
      <c r="A11" s="30" t="s">
        <v>664</v>
      </c>
      <c r="B11" s="32" t="s">
        <v>665</v>
      </c>
      <c r="C11" s="32" t="s">
        <v>666</v>
      </c>
    </row>
    <row r="12" customFormat="false" ht="39.75" hidden="false" customHeight="true" outlineLevel="0" collapsed="false">
      <c r="A12" s="30" t="s">
        <v>667</v>
      </c>
      <c r="B12" s="32" t="s">
        <v>668</v>
      </c>
      <c r="C12" s="32" t="s">
        <v>669</v>
      </c>
    </row>
    <row r="13" customFormat="false" ht="42" hidden="false" customHeight="true" outlineLevel="0" collapsed="false">
      <c r="A13" s="30" t="s">
        <v>670</v>
      </c>
      <c r="B13" s="32" t="s">
        <v>671</v>
      </c>
      <c r="C13" s="32" t="s">
        <v>672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2026-10-11T10:39:01Z</dcterms:created>
  <dc:creator>openpyxl</dc:creator>
  <dc:description/>
  <dc:language>en-US</dc:language>
  <cp:lastModifiedBy/>
  <dcterms:modified xsi:type="dcterms:W3CDTF">2026-10-11T21:39:04Z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